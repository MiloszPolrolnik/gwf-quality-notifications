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gwfag.sharepoint.com/sites/ProductQuality/Shared Documents/10. Quality Notifications/2017/"/>
    </mc:Choice>
  </mc:AlternateContent>
  <xr:revisionPtr revIDLastSave="0" documentId="11_3BCCC28297A034AEB314C804A6E803EBD275234A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Übersicht Sonderfreigaben" sheetId="5" r:id="rId1"/>
    <sheet name="Status Liste" sheetId="6" r:id="rId2"/>
    <sheet name="Pivot" sheetId="7" r:id="rId3"/>
  </sheets>
  <definedNames>
    <definedName name="_xlnm._FilterDatabase" localSheetId="0" hidden="1">'Übersicht Sonderfreigaben'!$A$3:$DJ$38</definedName>
    <definedName name="Ersteller" localSheetId="0">#REF!</definedName>
    <definedName name="Ersteller">#REF!</definedName>
    <definedName name="Liste_Audit_Thema" localSheetId="0">#REF!</definedName>
    <definedName name="Liste_Audit_Thema">#REF!</definedName>
    <definedName name="Liste_Prüfentscheid" localSheetId="0">#REF!</definedName>
    <definedName name="Liste_Prüfentscheid">#REF!</definedName>
  </definedNames>
  <calcPr calcId="191028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3" i="5" l="1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O2" i="5"/>
</calcChain>
</file>

<file path=xl/sharedStrings.xml><?xml version="1.0" encoding="utf-8"?>
<sst xmlns="http://schemas.openxmlformats.org/spreadsheetml/2006/main" count="354" uniqueCount="167">
  <si>
    <t>GWF Sonderfreigabe Tracking 2017</t>
  </si>
  <si>
    <t>SFR-Nr.</t>
  </si>
  <si>
    <t>PSW (ja/Projekt)</t>
  </si>
  <si>
    <t>Artikelnummer</t>
  </si>
  <si>
    <t>Artikelbezeichnung</t>
  </si>
  <si>
    <t>Lieferanten-Nr</t>
  </si>
  <si>
    <t>Lieferant</t>
  </si>
  <si>
    <t>Begründung</t>
  </si>
  <si>
    <t>Massnahmen</t>
  </si>
  <si>
    <t>Freigabe bis/ Menge</t>
  </si>
  <si>
    <t xml:space="preserve">Verantwortung
</t>
  </si>
  <si>
    <t>Doku</t>
  </si>
  <si>
    <t>Status</t>
  </si>
  <si>
    <t>Tracking</t>
  </si>
  <si>
    <t>SFR17-01</t>
  </si>
  <si>
    <t>ja</t>
  </si>
  <si>
    <t>HRE LSW</t>
  </si>
  <si>
    <t>Escatec Malaysia</t>
  </si>
  <si>
    <t>Mass 33 kann nicht eingehalten werden</t>
  </si>
  <si>
    <t xml:space="preserve">Neues tool </t>
  </si>
  <si>
    <t>Stephan Citteur (SQM)</t>
  </si>
  <si>
    <t>ok</t>
  </si>
  <si>
    <t>freigegeben</t>
  </si>
  <si>
    <t>SFR17-02</t>
  </si>
  <si>
    <t>Body DN20 190mm</t>
  </si>
  <si>
    <t>Strambini</t>
  </si>
  <si>
    <t>Masse wurden bei Ersmusterprüfung nicht eingehalten</t>
  </si>
  <si>
    <t>Anpassung der Kontrollmasse bei Lieferant</t>
  </si>
  <si>
    <t>nächste Lieferung</t>
  </si>
  <si>
    <t>Erich Flühler (QM)</t>
  </si>
  <si>
    <t>SFR17-03</t>
  </si>
  <si>
    <t>Flügelrad kpl. Qn 2,5</t>
  </si>
  <si>
    <t>Max Allemann</t>
  </si>
  <si>
    <t>Prüfmass kann nicht eingehalten werden</t>
  </si>
  <si>
    <t>Anpassung der Zeichnung für Sensus Lieferung</t>
  </si>
  <si>
    <t>laufend</t>
  </si>
  <si>
    <t>SFR17-04</t>
  </si>
  <si>
    <t>BGZ Encoder Register AE5</t>
  </si>
  <si>
    <t>Abweichung mechanischer Aufbau</t>
  </si>
  <si>
    <t>Anpassung des Werkzeugs</t>
  </si>
  <si>
    <t>Beata Mendrala (PM)</t>
  </si>
  <si>
    <t>SFR17-05</t>
  </si>
  <si>
    <t>Steigrohrgehäuse</t>
  </si>
  <si>
    <t>Rattermarken auf Dichtflächen</t>
  </si>
  <si>
    <t>SFR17-06</t>
  </si>
  <si>
    <t>Projekt</t>
  </si>
  <si>
    <t>closing machine</t>
  </si>
  <si>
    <t>Closing machine MTK-E</t>
  </si>
  <si>
    <t>Closing machine does not preform to spec</t>
  </si>
  <si>
    <t>GWF will pay rejects till 5%</t>
  </si>
  <si>
    <t>n/a</t>
  </si>
  <si>
    <t>SFR17-07</t>
  </si>
  <si>
    <t>Closing machine Resus V8</t>
  </si>
  <si>
    <t>SFR17-08</t>
  </si>
  <si>
    <t>Schapphaube Rot Unico2</t>
  </si>
  <si>
    <t>Allemann</t>
  </si>
  <si>
    <t>Schnapphaube weisst unsaubere Oberflache</t>
  </si>
  <si>
    <t>Interne Sonderfreigabe</t>
  </si>
  <si>
    <t>fehlt</t>
  </si>
  <si>
    <t>SFR17-09</t>
  </si>
  <si>
    <t>53.000050, 53.000051</t>
  </si>
  <si>
    <t>L/P Emitter, L/P Receiver</t>
  </si>
  <si>
    <t>Lead time</t>
  </si>
  <si>
    <t>Visual inspection and critical dimension sampling</t>
  </si>
  <si>
    <t>Menge: 16000, 20000</t>
  </si>
  <si>
    <t>Thomas Frey (R&amp;D)</t>
  </si>
  <si>
    <t>SFR17-10</t>
  </si>
  <si>
    <t>53.000012, 53.000010</t>
  </si>
  <si>
    <t>General WHL, Least Sig WHL</t>
  </si>
  <si>
    <t>Menge: 72000, 10286</t>
  </si>
  <si>
    <t>SFR17-11</t>
  </si>
  <si>
    <t>General WHL, 1th tool</t>
  </si>
  <si>
    <t>Lead time - tool end of life</t>
  </si>
  <si>
    <t>keine neuen Massnahmen</t>
  </si>
  <si>
    <t>Ralph Kayser (R&amp;D)</t>
  </si>
  <si>
    <t>SFR17-12</t>
  </si>
  <si>
    <t>44.000110</t>
  </si>
  <si>
    <t>Least Sig WHL - new tool from Supertool</t>
  </si>
  <si>
    <t>SFR17-13</t>
  </si>
  <si>
    <t>General WHL, 3th tool</t>
  </si>
  <si>
    <t>Pre PSW - Lead time</t>
  </si>
  <si>
    <t>Visual inspection and critical dimension sampling; 1000h module testing at GWF, final tool approval when fully tested and improved</t>
  </si>
  <si>
    <t>SFR17-14</t>
  </si>
  <si>
    <t>Shift Gear</t>
  </si>
  <si>
    <t>Pre PSW - Lead time - extension of extisting concession</t>
  </si>
  <si>
    <t>SFR17-15</t>
  </si>
  <si>
    <t>SFR17-16</t>
  </si>
  <si>
    <t>Yes/No</t>
  </si>
  <si>
    <t>Encoder Resus V8</t>
  </si>
  <si>
    <t>Cracked sapphire found during assembly</t>
  </si>
  <si>
    <t>Use MTK-E sapphire press on the Resus V8 assembly line</t>
  </si>
  <si>
    <t>4320 pieces</t>
  </si>
  <si>
    <t>SFR17-17</t>
  </si>
  <si>
    <t>Ratio Testers malfunctioning and holding up the line</t>
  </si>
  <si>
    <t>Allow Escatec to pass the 3% reject rate treshold</t>
  </si>
  <si>
    <t>SFR17-18</t>
  </si>
  <si>
    <t>44.000020</t>
  </si>
  <si>
    <t>Lower Frame HRE-CH</t>
  </si>
  <si>
    <t>Lead time - extension of existing concession</t>
  </si>
  <si>
    <t>SFR17-19</t>
  </si>
  <si>
    <t>Yes</t>
  </si>
  <si>
    <t>HRE Most Sign. Wheel</t>
  </si>
  <si>
    <t>Consession for dimensional deviation</t>
  </si>
  <si>
    <t>New pin after safety stock</t>
  </si>
  <si>
    <t>31.11.2017</t>
  </si>
  <si>
    <t>SFR17-20</t>
  </si>
  <si>
    <t>Menge GW: 72184+72216
Menge LSW: 10177+10183</t>
  </si>
  <si>
    <t>SFR17-21</t>
  </si>
  <si>
    <t>53.000012, 53.000011</t>
  </si>
  <si>
    <t>GWF</t>
  </si>
  <si>
    <t>Lead time; 0-serial process delayed</t>
  </si>
  <si>
    <t xml:space="preserve">Special support in production @ GWF
Communication test
Visual inspection dial plate </t>
  </si>
  <si>
    <t>300 pcs.</t>
  </si>
  <si>
    <t>Matthias Brokelmann</t>
  </si>
  <si>
    <t>SFR17-22</t>
  </si>
  <si>
    <t>HRE Most Light Shield</t>
  </si>
  <si>
    <t>Sorting out bad cavities</t>
  </si>
  <si>
    <t>Sorting</t>
  </si>
  <si>
    <t>SFR17-23</t>
  </si>
  <si>
    <t>HRE Shift Gear</t>
  </si>
  <si>
    <t>SFR17-24</t>
  </si>
  <si>
    <t>Schnapphaube Rot</t>
  </si>
  <si>
    <t>Die Schnapphaube bricht sehr leicht bei den Anspritzpunkten.  Ein Änderungsprozess ist schon eingeleitet worden aber wegen dringende Bedarf soll Max Allemann noch mal 3200 Stück von die alte Version fertigen</t>
  </si>
  <si>
    <t>Fertigen</t>
  </si>
  <si>
    <t>3200 pieces</t>
  </si>
  <si>
    <t>SFR17-25</t>
  </si>
  <si>
    <t>Kupferbecher Resus V8</t>
  </si>
  <si>
    <t>Alte Kupferbecher haben noch nicht die abgerundete Rand und deswegen gibt es grössere Spänen bei verschliessen. Zirka 34000 Stück sind gesperrt. Die zirka 34000 Stück sollen jetzt aufgebraucht werden.</t>
  </si>
  <si>
    <t>Nutzung von gesperrte Teilen</t>
  </si>
  <si>
    <t>Matthias Brokelmann (hat das genemigt)</t>
  </si>
  <si>
    <t>SFR17-26</t>
  </si>
  <si>
    <t>SFR17-27</t>
  </si>
  <si>
    <t>SFR17-28</t>
  </si>
  <si>
    <t>No</t>
  </si>
  <si>
    <t>LSW Lydia</t>
  </si>
  <si>
    <t>Wheel stack does not pass Spinn test. Sorting on cavity number as only cavity 3 is good</t>
  </si>
  <si>
    <t>Sorting on cavity number</t>
  </si>
  <si>
    <t>SFR17-29</t>
  </si>
  <si>
    <t>Sapphire</t>
  </si>
  <si>
    <t xml:space="preserve">Usage of Resus Sapphire instead of MTK-E Sapphire for the last 1200 pcs of </t>
  </si>
  <si>
    <t>Sampling of 120 pcs and hydraulic testing @GWF to detect improvement/effect of Sapphire</t>
  </si>
  <si>
    <t>1200 pcs</t>
  </si>
  <si>
    <t>SFR17-30</t>
  </si>
  <si>
    <t>Ja</t>
  </si>
  <si>
    <t>Lydia Lower Frame</t>
  </si>
  <si>
    <t>Sorting out bad cavities 2 from Lower Frame Tool</t>
  </si>
  <si>
    <t>Sortierung</t>
  </si>
  <si>
    <t>SFR17-31</t>
  </si>
  <si>
    <t>The current batch of Lydia Lower Frames was produced with a CPK rate lower than the 1.33 treshold. To be able to make an evaluation of the batch of parts, Escatec made a dimensional inspection with a sample rate of AQL 0.4. No parts with any critical dimension out of specification where found. GWF will release the parts for assembly with this concession.</t>
  </si>
  <si>
    <t>Rectify tool</t>
  </si>
  <si>
    <t>SFR17-32</t>
  </si>
  <si>
    <t>Lydia Stack Cover</t>
  </si>
  <si>
    <t>The current batch of Lydia Stack Covers was produced with a CPK rate lower than the 1.33 treshold. To be able to make an evaluation of the batch of parts, Escatec made a dimensional inspection with a sample rate of AQL 0.4. No parts with any critical dimension out of specification where found. GWF will release the parts for assembly with this concession.</t>
  </si>
  <si>
    <t>SFR17-33</t>
  </si>
  <si>
    <t>Lydia Bevel Gear Horizontal</t>
  </si>
  <si>
    <t>The current batch of Lydia Bevel Gears Horizontal was produced with a CPK rate lower than the 1.33 treshold. To be able to make an evaluation of the batch of parts, Escatec made a dimensional inspection with a sample rate of AQL 0.4. No parts with any critical dimension out of specification where found. GWF will release the parts for assembly with this concession.</t>
  </si>
  <si>
    <t>SFR17-34</t>
  </si>
  <si>
    <t>Lydia Sweep Hand</t>
  </si>
  <si>
    <t>The current batch of Lydia Sweep Hands was produced with a CPK rate lower than the 1.33 treshold. To be able to make an evaluation of the batch of parts, Escatec made a dimensional inspection with a sample rate of AQL 0.4. No parts with any critical dimension out of specification where found. GWF will release the parts for assembly with this concession.</t>
  </si>
  <si>
    <t>SFR17-35</t>
  </si>
  <si>
    <t>Lydia Light Shield</t>
  </si>
  <si>
    <t>The current batch of Lydia Light Shields was produced with a CPK rate lower than the 1.33 treshold. To be able to make an evaluation of the batch of parts, Escatec made a dimensional inspection with a sample rate of AQL 0.4. No parts with any critical dimension out of specification where found. GWF will release the parts for assembly with this concession.</t>
  </si>
  <si>
    <t>offen</t>
  </si>
  <si>
    <t>abgeschlossen</t>
  </si>
  <si>
    <t>Zeilenbeschriftungen</t>
  </si>
  <si>
    <t>Anzahl von SFR-Nr.</t>
  </si>
  <si>
    <t>Gesamtergebnis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</si>
</sst>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0"/>
      <name val="Arial Narrow"/>
      <family val="2"/>
    </font>
    <font>
      <b/>
      <sz val="12"/>
      <color theme="0"/>
      <name val="Arial Narrow"/>
      <family val="2"/>
    </font>
    <font>
      <sz val="12"/>
      <color theme="0"/>
      <name val="Arial Narrow"/>
      <family val="2"/>
    </font>
    <font>
      <sz val="12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0" tint="-0.249977111117893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" fillId="0" borderId="0"/>
  </cellStyleXfs>
  <cellXfs count="30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9" fontId="0" fillId="2" borderId="0" xfId="1" applyFont="1" applyFill="1"/>
    <xf numFmtId="0" fontId="0" fillId="0" borderId="0" xfId="0" applyAlignment="1">
      <alignment wrapText="1"/>
    </xf>
    <xf numFmtId="9" fontId="0" fillId="0" borderId="0" xfId="1" applyFont="1"/>
    <xf numFmtId="0" fontId="4" fillId="2" borderId="0" xfId="0" applyFont="1" applyFill="1"/>
    <xf numFmtId="0" fontId="0" fillId="2" borderId="0" xfId="0" applyFill="1" applyAlignment="1">
      <alignment horizontal="left"/>
    </xf>
    <xf numFmtId="0" fontId="4" fillId="0" borderId="0" xfId="0" applyFont="1"/>
    <xf numFmtId="0" fontId="0" fillId="0" borderId="0" xfId="0" applyAlignment="1">
      <alignment horizontal="left"/>
    </xf>
    <xf numFmtId="0" fontId="5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right" vertical="center"/>
    </xf>
    <xf numFmtId="14" fontId="7" fillId="4" borderId="6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6" fillId="3" borderId="12" xfId="0" applyFont="1" applyFill="1" applyBorder="1" applyAlignment="1">
      <alignment horizontal="center" vertical="top" wrapText="1"/>
    </xf>
    <xf numFmtId="0" fontId="6" fillId="3" borderId="11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9" fontId="8" fillId="0" borderId="4" xfId="1" applyFont="1" applyBorder="1" applyAlignment="1">
      <alignment horizontal="left" vertical="top"/>
    </xf>
    <xf numFmtId="9" fontId="8" fillId="0" borderId="5" xfId="1" applyFont="1" applyBorder="1" applyAlignment="1">
      <alignment horizontal="left" vertical="top"/>
    </xf>
    <xf numFmtId="164" fontId="8" fillId="0" borderId="0" xfId="0" applyNumberFormat="1" applyFont="1" applyAlignment="1">
      <alignment horizontal="left" vertical="top" wrapText="1"/>
    </xf>
    <xf numFmtId="14" fontId="8" fillId="0" borderId="0" xfId="0" applyNumberFormat="1" applyFont="1" applyAlignment="1">
      <alignment horizontal="left" vertical="top" wrapText="1"/>
    </xf>
    <xf numFmtId="0" fontId="8" fillId="0" borderId="0" xfId="0" quotePrefix="1" applyFont="1" applyAlignment="1">
      <alignment horizontal="left" vertical="top" wrapText="1"/>
    </xf>
    <xf numFmtId="0" fontId="0" fillId="0" borderId="0" xfId="0" pivotButton="1"/>
    <xf numFmtId="0" fontId="5" fillId="4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</cellXfs>
  <cellStyles count="5">
    <cellStyle name="Prozent" xfId="1" builtinId="5"/>
    <cellStyle name="Prozent 2" xfId="3" xr:uid="{00000000-0005-0000-0000-000001000000}"/>
    <cellStyle name="Standard" xfId="0" builtinId="0"/>
    <cellStyle name="Standard 2" xfId="2" xr:uid="{00000000-0005-0000-0000-000003000000}"/>
    <cellStyle name="Standard 3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-Benutzer" refreshedDate="43160.658292361113" createdVersion="6" refreshedVersion="6" minRefreshableVersion="3" recordCount="35" xr:uid="{00000000-000A-0000-FFFF-FFFF00000000}">
  <cacheSource type="worksheet">
    <worksheetSource ref="C3:O38" sheet="Übersicht Sonderfreigaben"/>
  </cacheSource>
  <cacheFields count="13">
    <cacheField name="SFR-Nr." numFmtId="0">
      <sharedItems count="35">
        <s v="SFR17-01"/>
        <s v="SFR17-02"/>
        <s v="SFR17-03"/>
        <s v="SFR17-04"/>
        <s v="SFR17-05"/>
        <s v="SFR17-06"/>
        <s v="SFR17-07"/>
        <s v="SFR17-08"/>
        <s v="SFR17-09"/>
        <s v="SFR17-10"/>
        <s v="SFR17-11"/>
        <s v="SFR17-12"/>
        <s v="SFR17-13"/>
        <s v="SFR17-14"/>
        <s v="SFR17-15"/>
        <s v="SFR17-16"/>
        <s v="SFR17-17"/>
        <s v="SFR17-18"/>
        <s v="SFR17-19"/>
        <s v="SFR17-20"/>
        <s v="SFR17-21"/>
        <s v="SFR17-22"/>
        <s v="SFR17-23"/>
        <s v="SFR17-24"/>
        <s v="SFR17-25"/>
        <s v="SFR17-26"/>
        <s v="SFR17-27"/>
        <s v="SFR17-28"/>
        <s v="SFR17-29"/>
        <s v="SFR17-30"/>
        <s v="SFR17-31"/>
        <s v="SFR17-32"/>
        <s v="SFR17-33"/>
        <s v="SFR17-34"/>
        <s v="SFR17-35"/>
      </sharedItems>
    </cacheField>
    <cacheField name="PSW (ja/Projekt)" numFmtId="0">
      <sharedItems containsBlank="1"/>
    </cacheField>
    <cacheField name="Artikelnummer" numFmtId="0">
      <sharedItems containsBlank="1" containsMixedTypes="1" containsNumber="1" minValue="12.080028" maxValue="53.000051999999997"/>
    </cacheField>
    <cacheField name="Artikelbezeichnung" numFmtId="0">
      <sharedItems containsBlank="1"/>
    </cacheField>
    <cacheField name="Lieferanten-Nr" numFmtId="0">
      <sharedItems containsString="0" containsBlank="1" containsNumber="1" containsInteger="1" minValue="1322250" maxValue="2865012"/>
    </cacheField>
    <cacheField name="Lieferant" numFmtId="0">
      <sharedItems count="5">
        <s v="Escatec Malaysia"/>
        <s v="Strambini"/>
        <s v="Max Allemann"/>
        <s v="Allemann"/>
        <s v="GWF"/>
      </sharedItems>
    </cacheField>
    <cacheField name="Begründung" numFmtId="0">
      <sharedItems containsBlank="1" longText="1"/>
    </cacheField>
    <cacheField name="Massnahmen" numFmtId="0">
      <sharedItems containsBlank="1"/>
    </cacheField>
    <cacheField name="Freigabe bis/ Menge" numFmtId="0">
      <sharedItems containsDate="1" containsBlank="1" containsMixedTypes="1" minDate="1900-01-03T07:26:04" maxDate="2018-01-01T00:00:00"/>
    </cacheField>
    <cacheField name="Verantwortung_x000a_" numFmtId="0">
      <sharedItems/>
    </cacheField>
    <cacheField name="Doku" numFmtId="0">
      <sharedItems/>
    </cacheField>
    <cacheField name="Status" numFmtId="9">
      <sharedItems containsBlank="1" containsMixedTypes="1" containsNumber="1" minValue="0" maxValue="1"/>
    </cacheField>
    <cacheField name="Tracking" numFmtId="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s v="ja"/>
    <n v="44.000109999999999"/>
    <s v="HRE LSW"/>
    <m/>
    <x v="0"/>
    <s v="Mass 33 kann nicht eingehalten werden"/>
    <s v="Neues tool "/>
    <n v="42916"/>
    <s v="Stephan Citteur (SQM)"/>
    <s v="ok"/>
    <n v="0.2"/>
    <s v="freigegeben"/>
  </r>
  <r>
    <x v="1"/>
    <s v="ja"/>
    <n v="12.08066"/>
    <s v="Body DN20 190mm"/>
    <n v="2865012"/>
    <x v="1"/>
    <s v="Masse wurden bei Ersmusterprüfung nicht eingehalten"/>
    <s v="Anpassung der Kontrollmasse bei Lieferant"/>
    <s v="nächste Lieferung"/>
    <s v="Erich Flühler (QM)"/>
    <s v="ok"/>
    <n v="0.2"/>
    <s v="freigegeben"/>
  </r>
  <r>
    <x v="2"/>
    <s v="ja"/>
    <n v="12.080028"/>
    <s v="Flügelrad kpl. Qn 2,5"/>
    <n v="2108001"/>
    <x v="2"/>
    <s v="Prüfmass kann nicht eingehalten werden"/>
    <s v="Anpassung der Zeichnung für Sensus Lieferung"/>
    <s v="laufend"/>
    <s v="Erich Flühler (QM)"/>
    <s v="ok"/>
    <n v="0.2"/>
    <s v="freigegeben"/>
  </r>
  <r>
    <x v="3"/>
    <s v="ja"/>
    <n v="46.1006"/>
    <s v="BGZ Encoder Register AE5"/>
    <m/>
    <x v="0"/>
    <s v="Abweichung mechanischer Aufbau"/>
    <s v="Anpassung des Werkzeugs"/>
    <n v="43100"/>
    <s v="Beata Mendrala (PM)"/>
    <s v="ok"/>
    <n v="0.5"/>
    <s v="freigegeben"/>
  </r>
  <r>
    <x v="4"/>
    <s v="ja"/>
    <n v="12.120559999999999"/>
    <s v="Steigrohrgehäuse"/>
    <m/>
    <x v="1"/>
    <s v="Rattermarken auf Dichtflächen"/>
    <s v="Anpassung des Werkzeugs"/>
    <n v="42947"/>
    <s v="Erich Flühler (QM)"/>
    <s v="ok"/>
    <n v="0.5"/>
    <s v="freigegeben"/>
  </r>
  <r>
    <x v="5"/>
    <s v="Projekt"/>
    <s v="closing machine"/>
    <s v="Closing machine MTK-E"/>
    <n v="1322250"/>
    <x v="0"/>
    <s v="Closing machine does not preform to spec"/>
    <s v="GWF will pay rejects till 5%"/>
    <n v="43082"/>
    <s v="Stephan Citteur (SQM)"/>
    <s v="ok"/>
    <s v="n/a"/>
    <s v="freigegeben"/>
  </r>
  <r>
    <x v="6"/>
    <s v="Projekt"/>
    <s v="closing machine"/>
    <s v="Closing machine Resus V8"/>
    <n v="1322250"/>
    <x v="0"/>
    <s v="Closing machine does not preform to spec"/>
    <s v="GWF will pay rejects till 5%"/>
    <n v="43082"/>
    <s v="Stephan Citteur (SQM)"/>
    <s v="ok"/>
    <s v="n/a"/>
    <s v="freigegeben"/>
  </r>
  <r>
    <x v="7"/>
    <s v="ja"/>
    <n v="29.000492999999999"/>
    <s v="Schapphaube Rot Unico2"/>
    <n v="2108001"/>
    <x v="3"/>
    <s v="Schnapphaube weisst unsaubere Oberflache"/>
    <s v="Interne Sonderfreigabe"/>
    <n v="43028"/>
    <s v="Stephan Citteur (SQM)"/>
    <s v="fehlt"/>
    <n v="1"/>
    <s v="freigegeben"/>
  </r>
  <r>
    <x v="8"/>
    <s v="Projekt"/>
    <s v="53.000050, 53.000051"/>
    <s v="L/P Emitter, L/P Receiver"/>
    <n v="1322250"/>
    <x v="0"/>
    <s v="Lead time"/>
    <s v="Visual inspection and critical dimension sampling"/>
    <s v="Menge: 16000, 20000"/>
    <s v="Thomas Frey (R&amp;D)"/>
    <s v="ok"/>
    <n v="1"/>
    <s v="freigegeben"/>
  </r>
  <r>
    <x v="9"/>
    <s v="Projekt"/>
    <s v="53.000012, 53.000010"/>
    <s v="General WHL, Least Sig WHL"/>
    <n v="1322250"/>
    <x v="0"/>
    <s v="Lead time"/>
    <s v="Visual inspection and critical dimension sampling"/>
    <s v="Menge: 72000, 10286"/>
    <s v="Thomas Frey (R&amp;D)"/>
    <s v="ok"/>
    <n v="1"/>
    <s v="freigegeben"/>
  </r>
  <r>
    <x v="10"/>
    <s v="ja"/>
    <n v="44.000110999999997"/>
    <s v="General WHL, 1th tool"/>
    <n v="1322250"/>
    <x v="0"/>
    <s v="Lead time - tool end of life"/>
    <s v="keine neuen Massnahmen"/>
    <d v="2017-11-14T00:00:00"/>
    <s v="Ralph Kayser (R&amp;D)"/>
    <s v="ok"/>
    <n v="1"/>
    <s v="freigegeben"/>
  </r>
  <r>
    <x v="11"/>
    <s v="ja"/>
    <s v="44.000110"/>
    <s v="Least Sig WHL - new tool from Supertool"/>
    <n v="1322250"/>
    <x v="0"/>
    <s v="Lead time"/>
    <s v="Visual inspection and critical dimension sampling"/>
    <d v="2017-12-31T00:00:00"/>
    <s v="Ralph Kayser (R&amp;D)"/>
    <s v="ok"/>
    <n v="0.5"/>
    <s v="freigegeben"/>
  </r>
  <r>
    <x v="12"/>
    <s v="ja"/>
    <n v="44.000110999999997"/>
    <s v="General WHL, 3th tool"/>
    <n v="1322250"/>
    <x v="0"/>
    <s v="Pre PSW - Lead time"/>
    <s v="Visual inspection and critical dimension sampling; 1000h module testing at GWF, final tool approval when fully tested and improved"/>
    <d v="2017-12-31T00:00:00"/>
    <s v="Ralph Kayser (R&amp;D)"/>
    <s v="ok"/>
    <n v="0.5"/>
    <s v="freigegeben"/>
  </r>
  <r>
    <x v="13"/>
    <s v="ja"/>
    <n v="44.000011999999998"/>
    <s v="Shift Gear"/>
    <n v="1322250"/>
    <x v="0"/>
    <s v="Pre PSW - Lead time - extension of extisting concession"/>
    <s v="Visual inspection and critical dimension sampling; 1000h module testing at GWF, final tool approval when fully tested and improved"/>
    <d v="2017-12-15T00:00:00"/>
    <s v="Ralph Kayser (R&amp;D)"/>
    <s v="ok"/>
    <n v="0.2"/>
    <s v="freigegeben"/>
  </r>
  <r>
    <x v="14"/>
    <s v="Projekt"/>
    <s v="53.000012, 53.000010"/>
    <s v="General WHL, Least Sig WHL"/>
    <n v="1322250"/>
    <x v="0"/>
    <s v="Lead time"/>
    <s v="Visual inspection and critical dimension sampling"/>
    <s v="Menge: 72000, 10286"/>
    <s v="Thomas Frey (R&amp;D)"/>
    <s v="ok"/>
    <n v="1"/>
    <s v="freigegeben"/>
  </r>
  <r>
    <x v="15"/>
    <s v="Yes/No"/>
    <n v="47.020099999999999"/>
    <s v="Encoder Resus V8"/>
    <n v="1322250"/>
    <x v="0"/>
    <s v="Cracked sapphire found during assembly"/>
    <s v="Use MTK-E sapphire press on the Resus V8 assembly line"/>
    <s v="4320 pieces"/>
    <s v="Stephan Citteur (SQM)"/>
    <s v="fehlt"/>
    <n v="0"/>
    <s v="freigegeben"/>
  </r>
  <r>
    <x v="16"/>
    <s v="Yes/No"/>
    <n v="47.020099999999999"/>
    <s v="Encoder Resus V8"/>
    <n v="1322250"/>
    <x v="0"/>
    <s v="Ratio Testers malfunctioning and holding up the line"/>
    <s v="Allow Escatec to pass the 3% reject rate treshold"/>
    <d v="2017-12-31T00:00:00"/>
    <s v="Stephan Citteur (SQM)"/>
    <s v="ok"/>
    <n v="0"/>
    <s v="freigegeben"/>
  </r>
  <r>
    <x v="17"/>
    <s v="Yes/No"/>
    <s v="44.000020"/>
    <s v="Lower Frame HRE-CH"/>
    <n v="1322250"/>
    <x v="0"/>
    <s v="Lead time - extension of existing concession"/>
    <s v="Visual inspection and critical dimension sampling; 1000h module testing at GWF, final tool approval when fully tested and improved"/>
    <d v="2017-12-15T00:00:00"/>
    <s v="Ralph Kayser (R&amp;D)"/>
    <s v="ok"/>
    <n v="0"/>
    <s v="freigegeben"/>
  </r>
  <r>
    <x v="18"/>
    <s v="Yes"/>
    <n v="44.000112000000001"/>
    <s v="HRE Most Sign. Wheel"/>
    <n v="1322250"/>
    <x v="0"/>
    <s v="Consession for dimensional deviation"/>
    <s v="New pin after safety stock"/>
    <s v="31.11.2017"/>
    <s v="Stephan Citteur (SQM)"/>
    <s v="ok"/>
    <n v="0"/>
    <s v="freigegeben"/>
  </r>
  <r>
    <x v="19"/>
    <s v="Projekt"/>
    <s v="53.000012, 53.000010"/>
    <s v="General WHL, Least Sig WHL"/>
    <n v="1322250"/>
    <x v="0"/>
    <s v="Lead time"/>
    <s v="Visual inspection and critical dimension sampling"/>
    <s v="Menge GW: 72184+72216_x000a_Menge LSW: 10177+10183"/>
    <s v="Thomas Frey (R&amp;D)"/>
    <s v="ok"/>
    <n v="0"/>
    <s v="freigegeben"/>
  </r>
  <r>
    <x v="20"/>
    <s v="Projekt"/>
    <s v="53.000012, 53.000011"/>
    <s v="General WHL, Least Sig WHL"/>
    <n v="1322251"/>
    <x v="4"/>
    <s v="Lead time; 0-serial process delayed"/>
    <s v="Special support in production @ GWF_x000a_Communication test_x000a_Visual inspection dial plate "/>
    <s v="300 pcs."/>
    <s v="Matthias Brokelmann"/>
    <s v="ok"/>
    <n v="0"/>
    <s v="freigegeben"/>
  </r>
  <r>
    <x v="21"/>
    <s v="Yes"/>
    <n v="44.000028999999998"/>
    <s v="HRE Most Light Shield"/>
    <n v="1322250"/>
    <x v="0"/>
    <s v="Sorting out bad cavities"/>
    <s v="Sorting"/>
    <d v="2017-12-31T00:00:00"/>
    <s v="Stephan Citteur (SQM)"/>
    <s v="ok"/>
    <n v="0"/>
    <s v="freigegeben"/>
  </r>
  <r>
    <x v="22"/>
    <s v="Yes"/>
    <n v="44.000011999999998"/>
    <s v="HRE Shift Gear"/>
    <n v="1322250"/>
    <x v="0"/>
    <s v="Sorting out bad cavities"/>
    <s v="Sorting"/>
    <d v="2017-12-31T00:00:00"/>
    <s v="Stephan Citteur (SQM)"/>
    <s v="ok"/>
    <n v="0"/>
    <s v="freigegeben"/>
  </r>
  <r>
    <x v="23"/>
    <s v="Yes"/>
    <n v="29.000492999999999"/>
    <s v="Schnapphaube Rot"/>
    <n v="2108001"/>
    <x v="2"/>
    <s v="Die Schnapphaube bricht sehr leicht bei den Anspritzpunkten.  Ein Änderungsprozess ist schon eingeleitet worden aber wegen dringende Bedarf soll Max Allemann noch mal 3200 Stück von die alte Version fertigen"/>
    <s v="Fertigen"/>
    <s v="3200 pieces"/>
    <s v="Stephan Citteur (SQM)"/>
    <s v="ok"/>
    <n v="0"/>
    <s v="freigegeben"/>
  </r>
  <r>
    <x v="24"/>
    <s v="Yes"/>
    <m/>
    <s v="Kupferbecher Resus V8"/>
    <n v="1322250"/>
    <x v="0"/>
    <s v="Alte Kupferbecher haben noch nicht die abgerundete Rand und deswegen gibt es grössere Spänen bei verschliessen. Zirka 34000 Stück sind gesperrt. Die zirka 34000 Stück sollen jetzt aufgebraucht werden."/>
    <s v="Nutzung von gesperrte Teilen"/>
    <n v="34000"/>
    <s v="Matthias Brokelmann (hat das genemigt)"/>
    <s v="fehlt"/>
    <n v="0"/>
    <s v="freigegeben"/>
  </r>
  <r>
    <x v="25"/>
    <s v="ja"/>
    <n v="44.000110999999997"/>
    <s v="General WHL, 3th tool"/>
    <n v="1322250"/>
    <x v="0"/>
    <s v="Pre PSW - Lead time"/>
    <s v="Visual inspection and critical dimension sampling; 1000h module testing at GWF, final tool approval when fully tested and improved"/>
    <d v="2017-12-31T00:00:00"/>
    <s v="Ralph Kayser (R&amp;D)"/>
    <s v="ok"/>
    <n v="0"/>
    <s v="freigegeben"/>
  </r>
  <r>
    <x v="26"/>
    <m/>
    <m/>
    <m/>
    <n v="1322250"/>
    <x v="0"/>
    <m/>
    <m/>
    <m/>
    <s v="Stephan Citteur (SQM)"/>
    <s v="fehlt"/>
    <n v="0"/>
    <s v="freigegeben"/>
  </r>
  <r>
    <x v="27"/>
    <s v="No"/>
    <m/>
    <s v="LSW Lydia"/>
    <n v="1322250"/>
    <x v="0"/>
    <s v="Wheel stack does not pass Spinn test. Sorting on cavity number as only cavity 3 is good"/>
    <s v="Sorting on cavity number"/>
    <d v="2017-12-31T00:00:00"/>
    <s v="Stephan Citteur (SQM)"/>
    <s v="fehlt"/>
    <n v="0"/>
    <s v="freigegeben"/>
  </r>
  <r>
    <x v="28"/>
    <s v="No"/>
    <m/>
    <s v="Sapphire"/>
    <n v="1322250"/>
    <x v="0"/>
    <s v="Usage of Resus Sapphire instead of MTK-E Sapphire for the last 1200 pcs of "/>
    <s v="Sampling of 120 pcs and hydraulic testing @GWF to detect improvement/effect of Sapphire"/>
    <s v="1200 pcs"/>
    <s v="Erich Flühler (QM)"/>
    <s v="ok"/>
    <n v="0"/>
    <s v="freigegeben"/>
  </r>
  <r>
    <x v="29"/>
    <s v="ja"/>
    <n v="53.000000999999997"/>
    <s v="Lydia Lower Frame"/>
    <n v="1322251"/>
    <x v="0"/>
    <s v="Sorting out bad cavities 2 from Lower Frame Tool"/>
    <s v="Sortierung"/>
    <n v="15000"/>
    <s v="Thomas Frey (R&amp;D)"/>
    <s v="ok"/>
    <n v="0"/>
    <s v="freigegeben"/>
  </r>
  <r>
    <x v="30"/>
    <s v="Projekt"/>
    <n v="53.000000999999997"/>
    <s v="Lydia Lower Frame"/>
    <n v="1322251"/>
    <x v="0"/>
    <s v="The current batch of Lydia Lower Frames was produced with a CPK rate lower than the 1.33 treshold. To be able to make an evaluation of the batch of parts, Escatec made a dimensional inspection with a sample rate of AQL 0.4. No parts with any critical dimension out of specification where found. GWF will release the parts for assembly with this concession."/>
    <s v="Rectify tool"/>
    <d v="2017-12-31T00:00:00"/>
    <s v="Thomas Frey (R&amp;D)"/>
    <s v="ok"/>
    <m/>
    <m/>
  </r>
  <r>
    <x v="31"/>
    <s v="Projekt"/>
    <n v="53.000002000000002"/>
    <s v="Lydia Stack Cover"/>
    <n v="1322251"/>
    <x v="0"/>
    <s v="The current batch of Lydia Stack Covers was produced with a CPK rate lower than the 1.33 treshold. To be able to make an evaluation of the batch of parts, Escatec made a dimensional inspection with a sample rate of AQL 0.4. No parts with any critical dimension out of specification where found. GWF will release the parts for assembly with this concession."/>
    <s v="Rectify tool"/>
    <d v="2017-12-31T00:00:00"/>
    <s v="Thomas Frey (R&amp;D)"/>
    <s v="ok"/>
    <m/>
    <m/>
  </r>
  <r>
    <x v="32"/>
    <s v="Projekt"/>
    <n v="53.000019999999999"/>
    <s v="Lydia Bevel Gear Horizontal"/>
    <n v="1322251"/>
    <x v="0"/>
    <s v="The current batch of Lydia Bevel Gears Horizontal was produced with a CPK rate lower than the 1.33 treshold. To be able to make an evaluation of the batch of parts, Escatec made a dimensional inspection with a sample rate of AQL 0.4. No parts with any critical dimension out of specification where found. GWF will release the parts for assembly with this concession."/>
    <s v="Rectify tool"/>
    <d v="2017-12-31T00:00:00"/>
    <s v="Thomas Frey (R&amp;D)"/>
    <s v="ok"/>
    <m/>
    <m/>
  </r>
  <r>
    <x v="33"/>
    <s v="Projekt"/>
    <n v="53.000024000000003"/>
    <s v="Lydia Sweep Hand"/>
    <n v="1322251"/>
    <x v="0"/>
    <s v="The current batch of Lydia Sweep Hands was produced with a CPK rate lower than the 1.33 treshold. To be able to make an evaluation of the batch of parts, Escatec made a dimensional inspection with a sample rate of AQL 0.4. No parts with any critical dimension out of specification where found. GWF will release the parts for assembly with this concession."/>
    <s v="Rectify tool"/>
    <d v="2017-12-31T00:00:00"/>
    <s v="Thomas Frey (R&amp;D)"/>
    <s v="ok"/>
    <m/>
    <m/>
  </r>
  <r>
    <x v="34"/>
    <s v="Projekt"/>
    <n v="53.000051999999997"/>
    <s v="Lydia Light Shield"/>
    <n v="1322251"/>
    <x v="0"/>
    <s v="The current batch of Lydia Light Shields was produced with a CPK rate lower than the 1.33 treshold. To be able to make an evaluation of the batch of parts, Escatec made a dimensional inspection with a sample rate of AQL 0.4. No parts with any critical dimension out of specification where found. GWF will release the parts for assembly with this concession."/>
    <s v="Rectify tool"/>
    <d v="2017-12-31T00:00:00"/>
    <s v="Thomas Frey (R&amp;D)"/>
    <s v="ok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2" applyNumberFormats="0" applyBorderFormats="0" applyFontFormats="0" applyPatternFormats="0" applyAlignmentFormats="0" applyWidthHeightFormats="1" dataCaption="Werte" updatedVersion="6" minRefreshableVersion="3" useAutoFormatting="1" itemPrintTitles="1" createdVersion="6" indent="0" outline="1" outlineData="1" multipleFieldFilters="0" chartFormat="15">
  <location ref="A3:B9" firstHeaderRow="1" firstDataRow="1" firstDataCol="1"/>
  <pivotFields count="13">
    <pivotField dataField="1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nzahl von SFR-Nr.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J81"/>
  <sheetViews>
    <sheetView tabSelected="1" zoomScaleNormal="100" workbookViewId="0">
      <pane xSplit="1" ySplit="3" topLeftCell="B34" activePane="bottomRight" state="frozen"/>
      <selection pane="topRight" activeCell="B1" sqref="B1"/>
      <selection pane="bottomLeft" activeCell="A4" sqref="A4"/>
      <selection pane="bottomRight" activeCell="C3" sqref="C3"/>
    </sheetView>
  </sheetViews>
  <sheetFormatPr baseColWidth="10" defaultColWidth="11.42578125" defaultRowHeight="15" x14ac:dyDescent="0.25"/>
  <cols>
    <col min="1" max="1" width="1.28515625" style="2" customWidth="1"/>
    <col min="2" max="2" width="3.42578125" style="8" customWidth="1"/>
    <col min="3" max="3" width="9.42578125" style="8" customWidth="1"/>
    <col min="4" max="4" width="13.7109375" style="8" customWidth="1"/>
    <col min="5" max="5" width="22.28515625" style="8" bestFit="1" customWidth="1"/>
    <col min="6" max="6" width="25.140625" style="8" bestFit="1" customWidth="1"/>
    <col min="7" max="7" width="14.42578125" style="4" bestFit="1" customWidth="1"/>
    <col min="8" max="8" width="16.7109375" style="9" bestFit="1" customWidth="1"/>
    <col min="9" max="9" width="38.5703125" style="9" bestFit="1" customWidth="1"/>
    <col min="10" max="10" width="35.28515625" style="9" bestFit="1" customWidth="1"/>
    <col min="11" max="11" width="14.5703125" style="9" bestFit="1" customWidth="1"/>
    <col min="12" max="12" width="22.28515625" customWidth="1"/>
    <col min="13" max="13" width="15.7109375" customWidth="1"/>
    <col min="14" max="14" width="9.140625" style="5" hidden="1" customWidth="1"/>
    <col min="15" max="15" width="13.28515625" style="5" bestFit="1" customWidth="1"/>
    <col min="16" max="16" width="10.28515625" style="2" hidden="1" customWidth="1"/>
    <col min="17" max="17" width="12.85546875" style="2" bestFit="1" customWidth="1"/>
    <col min="18" max="18" width="3.42578125" style="2" hidden="1" customWidth="1"/>
    <col min="19" max="19" width="12.7109375" style="2" customWidth="1"/>
    <col min="20" max="75" width="11.42578125" style="2"/>
  </cols>
  <sheetData>
    <row r="1" spans="2:114" s="2" customFormat="1" ht="15.75" thickBot="1" x14ac:dyDescent="0.3">
      <c r="B1" s="6"/>
      <c r="C1" s="6"/>
      <c r="D1" s="6"/>
      <c r="E1" s="6"/>
      <c r="F1" s="6"/>
      <c r="G1" s="1"/>
      <c r="H1" s="7"/>
      <c r="I1" s="7"/>
      <c r="J1" s="7"/>
      <c r="K1" s="7"/>
      <c r="N1" s="3"/>
      <c r="O1" s="3"/>
    </row>
    <row r="2" spans="2:114" ht="61.15" customHeight="1" thickBot="1" x14ac:dyDescent="0.3">
      <c r="B2" s="28" t="s">
        <v>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10"/>
      <c r="N2" s="11"/>
      <c r="O2" s="12">
        <f ca="1">TODAY()</f>
        <v>45001</v>
      </c>
    </row>
    <row r="3" spans="2:114" s="2" customFormat="1" ht="38.450000000000003" customHeight="1" x14ac:dyDescent="0.25">
      <c r="B3" s="13"/>
      <c r="C3" s="14" t="s">
        <v>1</v>
      </c>
      <c r="D3" s="14" t="s">
        <v>2</v>
      </c>
      <c r="E3" s="15" t="s">
        <v>3</v>
      </c>
      <c r="F3" s="15" t="s">
        <v>4</v>
      </c>
      <c r="G3" s="15" t="s">
        <v>5</v>
      </c>
      <c r="H3" s="15" t="s">
        <v>6</v>
      </c>
      <c r="I3" s="15" t="s">
        <v>7</v>
      </c>
      <c r="J3" s="15" t="s">
        <v>8</v>
      </c>
      <c r="K3" s="15" t="s">
        <v>9</v>
      </c>
      <c r="L3" s="16" t="s">
        <v>10</v>
      </c>
      <c r="M3" s="16" t="s">
        <v>11</v>
      </c>
      <c r="N3" s="17" t="s">
        <v>12</v>
      </c>
      <c r="O3" s="18" t="s">
        <v>13</v>
      </c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</row>
    <row r="4" spans="2:114" s="2" customFormat="1" ht="15.75" x14ac:dyDescent="0.25">
      <c r="B4" s="19">
        <f>IF(O4="","",IF(O4="offen",0,IF(O4="freigegeben",1.5,2)))</f>
        <v>1.5</v>
      </c>
      <c r="C4" s="20" t="s">
        <v>14</v>
      </c>
      <c r="D4" s="20" t="s">
        <v>15</v>
      </c>
      <c r="E4" s="21">
        <v>44.000109999999999</v>
      </c>
      <c r="F4" s="21" t="s">
        <v>16</v>
      </c>
      <c r="G4" s="21"/>
      <c r="H4" s="21" t="s">
        <v>17</v>
      </c>
      <c r="I4" s="21" t="s">
        <v>18</v>
      </c>
      <c r="J4" s="21" t="s">
        <v>19</v>
      </c>
      <c r="K4" s="21">
        <v>42916</v>
      </c>
      <c r="L4" s="21" t="s">
        <v>20</v>
      </c>
      <c r="M4" s="21" t="s">
        <v>21</v>
      </c>
      <c r="N4" s="22">
        <v>0.2</v>
      </c>
      <c r="O4" s="23" t="s">
        <v>22</v>
      </c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</row>
    <row r="5" spans="2:114" s="2" customFormat="1" ht="31.5" x14ac:dyDescent="0.25">
      <c r="B5" s="19">
        <f t="shared" ref="B5:B33" si="0">IF(O5="","",IF(O5="offen",0,IF(O5="freigegeben",1.5,2)))</f>
        <v>1.5</v>
      </c>
      <c r="C5" s="20" t="s">
        <v>23</v>
      </c>
      <c r="D5" s="20" t="s">
        <v>15</v>
      </c>
      <c r="E5" s="21">
        <v>12.08066</v>
      </c>
      <c r="F5" s="21" t="s">
        <v>24</v>
      </c>
      <c r="G5" s="21">
        <v>2865012</v>
      </c>
      <c r="H5" s="21" t="s">
        <v>25</v>
      </c>
      <c r="I5" s="21" t="s">
        <v>26</v>
      </c>
      <c r="J5" s="21" t="s">
        <v>27</v>
      </c>
      <c r="K5" s="21" t="s">
        <v>28</v>
      </c>
      <c r="L5" s="21" t="s">
        <v>29</v>
      </c>
      <c r="M5" s="21" t="s">
        <v>21</v>
      </c>
      <c r="N5" s="22">
        <v>0.2</v>
      </c>
      <c r="O5" s="23" t="s">
        <v>22</v>
      </c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</row>
    <row r="6" spans="2:114" s="2" customFormat="1" ht="31.5" x14ac:dyDescent="0.25">
      <c r="B6" s="19">
        <f t="shared" si="0"/>
        <v>1.5</v>
      </c>
      <c r="C6" s="20" t="s">
        <v>30</v>
      </c>
      <c r="D6" s="20" t="s">
        <v>15</v>
      </c>
      <c r="E6" s="21">
        <v>12.080028</v>
      </c>
      <c r="F6" s="21" t="s">
        <v>31</v>
      </c>
      <c r="G6" s="21">
        <v>2108001</v>
      </c>
      <c r="H6" s="21" t="s">
        <v>32</v>
      </c>
      <c r="I6" s="21" t="s">
        <v>33</v>
      </c>
      <c r="J6" s="21" t="s">
        <v>34</v>
      </c>
      <c r="K6" s="21" t="s">
        <v>35</v>
      </c>
      <c r="L6" s="21" t="s">
        <v>29</v>
      </c>
      <c r="M6" s="21" t="s">
        <v>21</v>
      </c>
      <c r="N6" s="22">
        <v>0.2</v>
      </c>
      <c r="O6" s="23" t="s">
        <v>22</v>
      </c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</row>
    <row r="7" spans="2:114" s="2" customFormat="1" ht="15.75" x14ac:dyDescent="0.25">
      <c r="B7" s="19">
        <f t="shared" si="0"/>
        <v>1.5</v>
      </c>
      <c r="C7" s="20" t="s">
        <v>36</v>
      </c>
      <c r="D7" s="20" t="s">
        <v>15</v>
      </c>
      <c r="E7" s="21">
        <v>46.1006</v>
      </c>
      <c r="F7" s="21" t="s">
        <v>37</v>
      </c>
      <c r="G7" s="21"/>
      <c r="H7" s="21" t="s">
        <v>17</v>
      </c>
      <c r="I7" s="21" t="s">
        <v>38</v>
      </c>
      <c r="J7" s="21" t="s">
        <v>39</v>
      </c>
      <c r="K7" s="21">
        <v>43100</v>
      </c>
      <c r="L7" s="21" t="s">
        <v>40</v>
      </c>
      <c r="M7" s="21" t="s">
        <v>21</v>
      </c>
      <c r="N7" s="22">
        <v>0.5</v>
      </c>
      <c r="O7" s="23" t="s">
        <v>22</v>
      </c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</row>
    <row r="8" spans="2:114" s="2" customFormat="1" ht="15.75" x14ac:dyDescent="0.25">
      <c r="B8" s="19">
        <f t="shared" si="0"/>
        <v>1.5</v>
      </c>
      <c r="C8" s="20" t="s">
        <v>41</v>
      </c>
      <c r="D8" s="20" t="s">
        <v>15</v>
      </c>
      <c r="E8" s="21">
        <v>12.120559999999999</v>
      </c>
      <c r="F8" s="21" t="s">
        <v>42</v>
      </c>
      <c r="G8" s="21"/>
      <c r="H8" s="21" t="s">
        <v>25</v>
      </c>
      <c r="I8" s="21" t="s">
        <v>43</v>
      </c>
      <c r="J8" s="21" t="s">
        <v>39</v>
      </c>
      <c r="K8" s="21">
        <v>42947</v>
      </c>
      <c r="L8" s="21" t="s">
        <v>29</v>
      </c>
      <c r="M8" s="21" t="s">
        <v>21</v>
      </c>
      <c r="N8" s="22">
        <v>0.5</v>
      </c>
      <c r="O8" s="23" t="s">
        <v>22</v>
      </c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</row>
    <row r="9" spans="2:114" s="2" customFormat="1" ht="15.75" x14ac:dyDescent="0.25">
      <c r="B9" s="19">
        <f t="shared" si="0"/>
        <v>1.5</v>
      </c>
      <c r="C9" s="20" t="s">
        <v>44</v>
      </c>
      <c r="D9" s="20" t="s">
        <v>45</v>
      </c>
      <c r="E9" s="21" t="s">
        <v>46</v>
      </c>
      <c r="F9" s="21" t="s">
        <v>47</v>
      </c>
      <c r="G9" s="21">
        <v>1322250</v>
      </c>
      <c r="H9" s="21" t="s">
        <v>17</v>
      </c>
      <c r="I9" s="21" t="s">
        <v>48</v>
      </c>
      <c r="J9" s="21" t="s">
        <v>49</v>
      </c>
      <c r="K9" s="21">
        <v>43082</v>
      </c>
      <c r="L9" s="21" t="s">
        <v>20</v>
      </c>
      <c r="M9" s="21" t="s">
        <v>21</v>
      </c>
      <c r="N9" s="22" t="s">
        <v>50</v>
      </c>
      <c r="O9" s="23" t="s">
        <v>22</v>
      </c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</row>
    <row r="10" spans="2:114" s="2" customFormat="1" ht="15.75" x14ac:dyDescent="0.25">
      <c r="B10" s="19">
        <f t="shared" si="0"/>
        <v>1.5</v>
      </c>
      <c r="C10" s="20" t="s">
        <v>51</v>
      </c>
      <c r="D10" s="20" t="s">
        <v>45</v>
      </c>
      <c r="E10" s="21" t="s">
        <v>46</v>
      </c>
      <c r="F10" s="21" t="s">
        <v>52</v>
      </c>
      <c r="G10" s="21">
        <v>1322250</v>
      </c>
      <c r="H10" s="21" t="s">
        <v>17</v>
      </c>
      <c r="I10" s="21" t="s">
        <v>48</v>
      </c>
      <c r="J10" s="21" t="s">
        <v>49</v>
      </c>
      <c r="K10" s="21">
        <v>43082</v>
      </c>
      <c r="L10" s="21" t="s">
        <v>20</v>
      </c>
      <c r="M10" s="21" t="s">
        <v>21</v>
      </c>
      <c r="N10" s="22" t="s">
        <v>50</v>
      </c>
      <c r="O10" s="23" t="s">
        <v>22</v>
      </c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</row>
    <row r="11" spans="2:114" s="2" customFormat="1" ht="31.5" x14ac:dyDescent="0.25">
      <c r="B11" s="19">
        <f t="shared" si="0"/>
        <v>1.5</v>
      </c>
      <c r="C11" s="20" t="s">
        <v>53</v>
      </c>
      <c r="D11" s="20" t="s">
        <v>15</v>
      </c>
      <c r="E11" s="21">
        <v>29.000492999999999</v>
      </c>
      <c r="F11" s="21" t="s">
        <v>54</v>
      </c>
      <c r="G11" s="21">
        <v>2108001</v>
      </c>
      <c r="H11" s="21" t="s">
        <v>55</v>
      </c>
      <c r="I11" s="21" t="s">
        <v>56</v>
      </c>
      <c r="J11" s="21" t="s">
        <v>57</v>
      </c>
      <c r="K11" s="21">
        <v>43028</v>
      </c>
      <c r="L11" s="21" t="s">
        <v>20</v>
      </c>
      <c r="M11" s="21" t="s">
        <v>58</v>
      </c>
      <c r="N11" s="22">
        <v>1</v>
      </c>
      <c r="O11" s="23" t="s">
        <v>22</v>
      </c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</row>
    <row r="12" spans="2:114" s="2" customFormat="1" ht="31.5" x14ac:dyDescent="0.25">
      <c r="B12" s="19">
        <f t="shared" si="0"/>
        <v>1.5</v>
      </c>
      <c r="C12" s="20" t="s">
        <v>59</v>
      </c>
      <c r="D12" s="20" t="s">
        <v>45</v>
      </c>
      <c r="E12" s="24" t="s">
        <v>60</v>
      </c>
      <c r="F12" s="21" t="s">
        <v>61</v>
      </c>
      <c r="G12" s="21">
        <v>1322250</v>
      </c>
      <c r="H12" s="21" t="s">
        <v>17</v>
      </c>
      <c r="I12" s="21" t="s">
        <v>62</v>
      </c>
      <c r="J12" s="21" t="s">
        <v>63</v>
      </c>
      <c r="K12" s="21" t="s">
        <v>64</v>
      </c>
      <c r="L12" s="21" t="s">
        <v>65</v>
      </c>
      <c r="M12" s="21" t="s">
        <v>21</v>
      </c>
      <c r="N12" s="22">
        <v>1</v>
      </c>
      <c r="O12" s="23" t="s">
        <v>22</v>
      </c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</row>
    <row r="13" spans="2:114" s="2" customFormat="1" ht="31.5" x14ac:dyDescent="0.25">
      <c r="B13" s="19">
        <f t="shared" si="0"/>
        <v>1.5</v>
      </c>
      <c r="C13" s="20" t="s">
        <v>66</v>
      </c>
      <c r="D13" s="20" t="s">
        <v>45</v>
      </c>
      <c r="E13" s="21" t="s">
        <v>67</v>
      </c>
      <c r="F13" s="21" t="s">
        <v>68</v>
      </c>
      <c r="G13" s="21">
        <v>1322250</v>
      </c>
      <c r="H13" s="21" t="s">
        <v>17</v>
      </c>
      <c r="I13" s="21" t="s">
        <v>62</v>
      </c>
      <c r="J13" s="21" t="s">
        <v>63</v>
      </c>
      <c r="K13" s="21" t="s">
        <v>69</v>
      </c>
      <c r="L13" s="21" t="s">
        <v>65</v>
      </c>
      <c r="M13" s="21" t="s">
        <v>21</v>
      </c>
      <c r="N13" s="22">
        <v>1</v>
      </c>
      <c r="O13" s="23" t="s">
        <v>22</v>
      </c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</row>
    <row r="14" spans="2:114" s="2" customFormat="1" ht="15.75" x14ac:dyDescent="0.25">
      <c r="B14" s="19">
        <f t="shared" si="0"/>
        <v>1.5</v>
      </c>
      <c r="C14" s="20" t="s">
        <v>70</v>
      </c>
      <c r="D14" s="20" t="s">
        <v>15</v>
      </c>
      <c r="E14" s="21">
        <v>44.000110999999997</v>
      </c>
      <c r="F14" s="21" t="s">
        <v>71</v>
      </c>
      <c r="G14" s="21">
        <v>1322250</v>
      </c>
      <c r="H14" s="21" t="s">
        <v>17</v>
      </c>
      <c r="I14" s="21" t="s">
        <v>72</v>
      </c>
      <c r="J14" s="21" t="s">
        <v>73</v>
      </c>
      <c r="K14" s="25">
        <v>43053</v>
      </c>
      <c r="L14" s="21" t="s">
        <v>74</v>
      </c>
      <c r="M14" s="21" t="s">
        <v>21</v>
      </c>
      <c r="N14" s="22">
        <v>1</v>
      </c>
      <c r="O14" s="23" t="s">
        <v>22</v>
      </c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</row>
    <row r="15" spans="2:114" s="2" customFormat="1" ht="31.5" x14ac:dyDescent="0.25">
      <c r="B15" s="19">
        <f t="shared" si="0"/>
        <v>1.5</v>
      </c>
      <c r="C15" s="20" t="s">
        <v>75</v>
      </c>
      <c r="D15" s="20" t="s">
        <v>15</v>
      </c>
      <c r="E15" s="26" t="s">
        <v>76</v>
      </c>
      <c r="F15" s="21" t="s">
        <v>77</v>
      </c>
      <c r="G15" s="21">
        <v>1322250</v>
      </c>
      <c r="H15" s="21" t="s">
        <v>17</v>
      </c>
      <c r="I15" s="21" t="s">
        <v>62</v>
      </c>
      <c r="J15" s="21" t="s">
        <v>63</v>
      </c>
      <c r="K15" s="25">
        <v>43100</v>
      </c>
      <c r="L15" s="21" t="s">
        <v>74</v>
      </c>
      <c r="M15" s="21" t="s">
        <v>21</v>
      </c>
      <c r="N15" s="22">
        <v>0.5</v>
      </c>
      <c r="O15" s="23" t="s">
        <v>22</v>
      </c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</row>
    <row r="16" spans="2:114" s="2" customFormat="1" ht="63" x14ac:dyDescent="0.25">
      <c r="B16" s="19">
        <f t="shared" si="0"/>
        <v>1.5</v>
      </c>
      <c r="C16" s="20" t="s">
        <v>78</v>
      </c>
      <c r="D16" s="20" t="s">
        <v>15</v>
      </c>
      <c r="E16" s="21">
        <v>44.000110999999997</v>
      </c>
      <c r="F16" s="21" t="s">
        <v>79</v>
      </c>
      <c r="G16" s="21">
        <v>1322250</v>
      </c>
      <c r="H16" s="21" t="s">
        <v>17</v>
      </c>
      <c r="I16" s="21" t="s">
        <v>80</v>
      </c>
      <c r="J16" s="21" t="s">
        <v>81</v>
      </c>
      <c r="K16" s="25">
        <v>43100</v>
      </c>
      <c r="L16" s="21" t="s">
        <v>74</v>
      </c>
      <c r="M16" s="21" t="s">
        <v>21</v>
      </c>
      <c r="N16" s="22">
        <v>0.5</v>
      </c>
      <c r="O16" s="23" t="s">
        <v>22</v>
      </c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</row>
    <row r="17" spans="2:114" s="2" customFormat="1" ht="63" x14ac:dyDescent="0.25">
      <c r="B17" s="19">
        <f t="shared" si="0"/>
        <v>1.5</v>
      </c>
      <c r="C17" s="20" t="s">
        <v>82</v>
      </c>
      <c r="D17" s="20" t="s">
        <v>15</v>
      </c>
      <c r="E17" s="21">
        <v>44.000011999999998</v>
      </c>
      <c r="F17" s="21" t="s">
        <v>83</v>
      </c>
      <c r="G17" s="21">
        <v>1322250</v>
      </c>
      <c r="H17" s="21" t="s">
        <v>17</v>
      </c>
      <c r="I17" s="21" t="s">
        <v>84</v>
      </c>
      <c r="J17" s="21" t="s">
        <v>81</v>
      </c>
      <c r="K17" s="25">
        <v>43084</v>
      </c>
      <c r="L17" s="21" t="s">
        <v>74</v>
      </c>
      <c r="M17" s="21" t="s">
        <v>21</v>
      </c>
      <c r="N17" s="22">
        <v>0.2</v>
      </c>
      <c r="O17" s="23" t="s">
        <v>22</v>
      </c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</row>
    <row r="18" spans="2:114" s="2" customFormat="1" ht="31.5" x14ac:dyDescent="0.25">
      <c r="B18" s="19">
        <f t="shared" si="0"/>
        <v>1.5</v>
      </c>
      <c r="C18" s="20" t="s">
        <v>85</v>
      </c>
      <c r="D18" s="20" t="s">
        <v>45</v>
      </c>
      <c r="E18" s="21" t="s">
        <v>67</v>
      </c>
      <c r="F18" s="21" t="s">
        <v>68</v>
      </c>
      <c r="G18" s="21">
        <v>1322250</v>
      </c>
      <c r="H18" s="21" t="s">
        <v>17</v>
      </c>
      <c r="I18" s="21" t="s">
        <v>62</v>
      </c>
      <c r="J18" s="21" t="s">
        <v>63</v>
      </c>
      <c r="K18" s="21" t="s">
        <v>69</v>
      </c>
      <c r="L18" s="21" t="s">
        <v>65</v>
      </c>
      <c r="M18" s="21" t="s">
        <v>21</v>
      </c>
      <c r="N18" s="22">
        <v>1</v>
      </c>
      <c r="O18" s="23" t="s">
        <v>22</v>
      </c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</row>
    <row r="19" spans="2:114" s="2" customFormat="1" ht="31.5" x14ac:dyDescent="0.25">
      <c r="B19" s="19">
        <f t="shared" si="0"/>
        <v>1.5</v>
      </c>
      <c r="C19" s="20" t="s">
        <v>86</v>
      </c>
      <c r="D19" s="20" t="s">
        <v>87</v>
      </c>
      <c r="E19" s="21">
        <v>47.020099999999999</v>
      </c>
      <c r="F19" s="21" t="s">
        <v>88</v>
      </c>
      <c r="G19" s="21">
        <v>1322250</v>
      </c>
      <c r="H19" s="21" t="s">
        <v>17</v>
      </c>
      <c r="I19" s="21" t="s">
        <v>89</v>
      </c>
      <c r="J19" s="21" t="s">
        <v>90</v>
      </c>
      <c r="K19" s="21" t="s">
        <v>91</v>
      </c>
      <c r="L19" s="21" t="s">
        <v>20</v>
      </c>
      <c r="M19" s="21" t="s">
        <v>58</v>
      </c>
      <c r="N19" s="22">
        <v>0</v>
      </c>
      <c r="O19" s="23" t="s">
        <v>22</v>
      </c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</row>
    <row r="20" spans="2:114" s="2" customFormat="1" ht="31.5" x14ac:dyDescent="0.25">
      <c r="B20" s="19">
        <f t="shared" si="0"/>
        <v>1.5</v>
      </c>
      <c r="C20" s="20" t="s">
        <v>92</v>
      </c>
      <c r="D20" s="20" t="s">
        <v>87</v>
      </c>
      <c r="E20" s="21">
        <v>47.020099999999999</v>
      </c>
      <c r="F20" s="21" t="s">
        <v>88</v>
      </c>
      <c r="G20" s="21">
        <v>1322250</v>
      </c>
      <c r="H20" s="21" t="s">
        <v>17</v>
      </c>
      <c r="I20" s="21" t="s">
        <v>93</v>
      </c>
      <c r="J20" s="21" t="s">
        <v>94</v>
      </c>
      <c r="K20" s="25">
        <v>43100</v>
      </c>
      <c r="L20" s="21" t="s">
        <v>20</v>
      </c>
      <c r="M20" s="21" t="s">
        <v>21</v>
      </c>
      <c r="N20" s="22">
        <v>0</v>
      </c>
      <c r="O20" s="23" t="s">
        <v>22</v>
      </c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</row>
    <row r="21" spans="2:114" s="2" customFormat="1" ht="63" x14ac:dyDescent="0.25">
      <c r="B21" s="19">
        <f t="shared" si="0"/>
        <v>1.5</v>
      </c>
      <c r="C21" s="20" t="s">
        <v>95</v>
      </c>
      <c r="D21" s="20" t="s">
        <v>87</v>
      </c>
      <c r="E21" s="26" t="s">
        <v>96</v>
      </c>
      <c r="F21" s="21" t="s">
        <v>97</v>
      </c>
      <c r="G21" s="21">
        <v>1322250</v>
      </c>
      <c r="H21" s="21" t="s">
        <v>17</v>
      </c>
      <c r="I21" s="21" t="s">
        <v>98</v>
      </c>
      <c r="J21" s="21" t="s">
        <v>81</v>
      </c>
      <c r="K21" s="25">
        <v>43084</v>
      </c>
      <c r="L21" s="21" t="s">
        <v>74</v>
      </c>
      <c r="M21" s="21" t="s">
        <v>21</v>
      </c>
      <c r="N21" s="22">
        <v>0</v>
      </c>
      <c r="O21" s="23" t="s">
        <v>22</v>
      </c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</row>
    <row r="22" spans="2:114" s="2" customFormat="1" ht="15.75" x14ac:dyDescent="0.25">
      <c r="B22" s="19">
        <f t="shared" si="0"/>
        <v>1.5</v>
      </c>
      <c r="C22" s="20" t="s">
        <v>99</v>
      </c>
      <c r="D22" s="20" t="s">
        <v>100</v>
      </c>
      <c r="E22" s="21">
        <v>44.000112000000001</v>
      </c>
      <c r="F22" s="21" t="s">
        <v>101</v>
      </c>
      <c r="G22" s="21">
        <v>1322250</v>
      </c>
      <c r="H22" s="21" t="s">
        <v>17</v>
      </c>
      <c r="I22" s="21" t="s">
        <v>102</v>
      </c>
      <c r="J22" s="21" t="s">
        <v>103</v>
      </c>
      <c r="K22" s="21" t="s">
        <v>104</v>
      </c>
      <c r="L22" s="21" t="s">
        <v>20</v>
      </c>
      <c r="M22" s="21" t="s">
        <v>21</v>
      </c>
      <c r="N22" s="22">
        <v>0</v>
      </c>
      <c r="O22" s="23" t="s">
        <v>22</v>
      </c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</row>
    <row r="23" spans="2:114" s="2" customFormat="1" ht="63" x14ac:dyDescent="0.25">
      <c r="B23" s="19">
        <f t="shared" si="0"/>
        <v>1.5</v>
      </c>
      <c r="C23" s="20" t="s">
        <v>105</v>
      </c>
      <c r="D23" s="20" t="s">
        <v>45</v>
      </c>
      <c r="E23" s="24" t="s">
        <v>67</v>
      </c>
      <c r="F23" s="21" t="s">
        <v>68</v>
      </c>
      <c r="G23" s="21">
        <v>1322250</v>
      </c>
      <c r="H23" s="21" t="s">
        <v>17</v>
      </c>
      <c r="I23" s="21" t="s">
        <v>62</v>
      </c>
      <c r="J23" s="21" t="s">
        <v>63</v>
      </c>
      <c r="K23" s="21" t="s">
        <v>106</v>
      </c>
      <c r="L23" s="21" t="s">
        <v>65</v>
      </c>
      <c r="M23" s="21" t="s">
        <v>21</v>
      </c>
      <c r="N23" s="22">
        <v>0</v>
      </c>
      <c r="O23" s="23" t="s">
        <v>22</v>
      </c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</row>
    <row r="24" spans="2:114" s="2" customFormat="1" ht="47.25" x14ac:dyDescent="0.25">
      <c r="B24" s="19">
        <f t="shared" si="0"/>
        <v>1.5</v>
      </c>
      <c r="C24" s="20" t="s">
        <v>107</v>
      </c>
      <c r="D24" s="20" t="s">
        <v>45</v>
      </c>
      <c r="E24" s="24" t="s">
        <v>108</v>
      </c>
      <c r="F24" s="21" t="s">
        <v>68</v>
      </c>
      <c r="G24" s="21">
        <v>1322251</v>
      </c>
      <c r="H24" s="21" t="s">
        <v>109</v>
      </c>
      <c r="I24" s="21" t="s">
        <v>110</v>
      </c>
      <c r="J24" s="21" t="s">
        <v>111</v>
      </c>
      <c r="K24" s="21" t="s">
        <v>112</v>
      </c>
      <c r="L24" s="21" t="s">
        <v>113</v>
      </c>
      <c r="M24" s="21" t="s">
        <v>21</v>
      </c>
      <c r="N24" s="22">
        <v>0</v>
      </c>
      <c r="O24" s="23" t="s">
        <v>22</v>
      </c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</row>
    <row r="25" spans="2:114" s="2" customFormat="1" ht="15.75" x14ac:dyDescent="0.25">
      <c r="B25" s="19">
        <f t="shared" si="0"/>
        <v>1.5</v>
      </c>
      <c r="C25" s="20" t="s">
        <v>114</v>
      </c>
      <c r="D25" s="20" t="s">
        <v>100</v>
      </c>
      <c r="E25" s="21">
        <v>44.000028999999998</v>
      </c>
      <c r="F25" s="21" t="s">
        <v>115</v>
      </c>
      <c r="G25" s="21">
        <v>1322250</v>
      </c>
      <c r="H25" s="21" t="s">
        <v>17</v>
      </c>
      <c r="I25" s="21" t="s">
        <v>116</v>
      </c>
      <c r="J25" s="21" t="s">
        <v>117</v>
      </c>
      <c r="K25" s="25">
        <v>43100</v>
      </c>
      <c r="L25" s="21" t="s">
        <v>20</v>
      </c>
      <c r="M25" s="21" t="s">
        <v>21</v>
      </c>
      <c r="N25" s="22">
        <v>0</v>
      </c>
      <c r="O25" s="23" t="s">
        <v>22</v>
      </c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</row>
    <row r="26" spans="2:114" s="2" customFormat="1" ht="15.75" x14ac:dyDescent="0.25">
      <c r="B26" s="19">
        <f t="shared" si="0"/>
        <v>1.5</v>
      </c>
      <c r="C26" s="20" t="s">
        <v>118</v>
      </c>
      <c r="D26" s="20" t="s">
        <v>100</v>
      </c>
      <c r="E26" s="21">
        <v>44.000011999999998</v>
      </c>
      <c r="F26" s="21" t="s">
        <v>119</v>
      </c>
      <c r="G26" s="21">
        <v>1322250</v>
      </c>
      <c r="H26" s="21" t="s">
        <v>17</v>
      </c>
      <c r="I26" s="21" t="s">
        <v>116</v>
      </c>
      <c r="J26" s="21" t="s">
        <v>117</v>
      </c>
      <c r="K26" s="25">
        <v>43100</v>
      </c>
      <c r="L26" s="21" t="s">
        <v>20</v>
      </c>
      <c r="M26" s="21" t="s">
        <v>21</v>
      </c>
      <c r="N26" s="22">
        <v>0</v>
      </c>
      <c r="O26" s="23" t="s">
        <v>22</v>
      </c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</row>
    <row r="27" spans="2:114" s="2" customFormat="1" ht="94.5" x14ac:dyDescent="0.25">
      <c r="B27" s="19">
        <f t="shared" si="0"/>
        <v>1.5</v>
      </c>
      <c r="C27" s="20" t="s">
        <v>120</v>
      </c>
      <c r="D27" s="20" t="s">
        <v>100</v>
      </c>
      <c r="E27" s="21">
        <v>29.000492999999999</v>
      </c>
      <c r="F27" s="21" t="s">
        <v>121</v>
      </c>
      <c r="G27" s="21">
        <v>2108001</v>
      </c>
      <c r="H27" s="21" t="s">
        <v>32</v>
      </c>
      <c r="I27" s="21" t="s">
        <v>122</v>
      </c>
      <c r="J27" s="21" t="s">
        <v>123</v>
      </c>
      <c r="K27" s="21" t="s">
        <v>124</v>
      </c>
      <c r="L27" s="21" t="s">
        <v>20</v>
      </c>
      <c r="M27" s="21" t="s">
        <v>21</v>
      </c>
      <c r="N27" s="22">
        <v>0</v>
      </c>
      <c r="O27" s="23" t="s">
        <v>22</v>
      </c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</row>
    <row r="28" spans="2:114" s="2" customFormat="1" ht="78.75" x14ac:dyDescent="0.25">
      <c r="B28" s="19">
        <f t="shared" si="0"/>
        <v>1.5</v>
      </c>
      <c r="C28" s="20" t="s">
        <v>125</v>
      </c>
      <c r="D28" s="20" t="s">
        <v>100</v>
      </c>
      <c r="E28" s="21"/>
      <c r="F28" s="21" t="s">
        <v>126</v>
      </c>
      <c r="G28" s="21">
        <v>1322250</v>
      </c>
      <c r="H28" s="21" t="s">
        <v>17</v>
      </c>
      <c r="I28" s="21" t="s">
        <v>127</v>
      </c>
      <c r="J28" s="21" t="s">
        <v>128</v>
      </c>
      <c r="K28" s="21">
        <v>34000</v>
      </c>
      <c r="L28" s="21" t="s">
        <v>129</v>
      </c>
      <c r="M28" s="21" t="s">
        <v>58</v>
      </c>
      <c r="N28" s="22">
        <v>0</v>
      </c>
      <c r="O28" s="23" t="s">
        <v>22</v>
      </c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</row>
    <row r="29" spans="2:114" s="2" customFormat="1" ht="63" x14ac:dyDescent="0.25">
      <c r="B29" s="19">
        <f t="shared" si="0"/>
        <v>1.5</v>
      </c>
      <c r="C29" s="20" t="s">
        <v>130</v>
      </c>
      <c r="D29" s="20" t="s">
        <v>15</v>
      </c>
      <c r="E29" s="21">
        <v>44.000110999999997</v>
      </c>
      <c r="F29" s="21" t="s">
        <v>79</v>
      </c>
      <c r="G29" s="21">
        <v>1322250</v>
      </c>
      <c r="H29" s="21" t="s">
        <v>17</v>
      </c>
      <c r="I29" s="21" t="s">
        <v>80</v>
      </c>
      <c r="J29" s="21" t="s">
        <v>81</v>
      </c>
      <c r="K29" s="25">
        <v>43100</v>
      </c>
      <c r="L29" s="21" t="s">
        <v>74</v>
      </c>
      <c r="M29" s="21" t="s">
        <v>21</v>
      </c>
      <c r="N29" s="22">
        <v>0</v>
      </c>
      <c r="O29" s="23" t="s">
        <v>22</v>
      </c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</row>
    <row r="30" spans="2:114" s="2" customFormat="1" ht="15.75" x14ac:dyDescent="0.25">
      <c r="B30" s="19">
        <f t="shared" si="0"/>
        <v>1.5</v>
      </c>
      <c r="C30" s="20" t="s">
        <v>131</v>
      </c>
      <c r="D30" s="20"/>
      <c r="E30" s="21"/>
      <c r="F30" s="21"/>
      <c r="G30" s="21">
        <v>1322250</v>
      </c>
      <c r="H30" s="21" t="s">
        <v>17</v>
      </c>
      <c r="I30" s="21"/>
      <c r="J30" s="21"/>
      <c r="K30" s="25"/>
      <c r="L30" s="21" t="s">
        <v>20</v>
      </c>
      <c r="M30" s="21" t="s">
        <v>58</v>
      </c>
      <c r="N30" s="22">
        <v>0</v>
      </c>
      <c r="O30" s="23" t="s">
        <v>22</v>
      </c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</row>
    <row r="31" spans="2:114" s="2" customFormat="1" ht="47.25" x14ac:dyDescent="0.25">
      <c r="B31" s="19">
        <f t="shared" si="0"/>
        <v>1.5</v>
      </c>
      <c r="C31" s="20" t="s">
        <v>132</v>
      </c>
      <c r="D31" s="20" t="s">
        <v>133</v>
      </c>
      <c r="E31" s="21"/>
      <c r="F31" s="21" t="s">
        <v>134</v>
      </c>
      <c r="G31" s="21">
        <v>1322250</v>
      </c>
      <c r="H31" s="21" t="s">
        <v>17</v>
      </c>
      <c r="I31" s="21" t="s">
        <v>135</v>
      </c>
      <c r="J31" s="21" t="s">
        <v>136</v>
      </c>
      <c r="K31" s="25">
        <v>43100</v>
      </c>
      <c r="L31" s="21" t="s">
        <v>20</v>
      </c>
      <c r="M31" s="21" t="s">
        <v>58</v>
      </c>
      <c r="N31" s="22">
        <v>0</v>
      </c>
      <c r="O31" s="23" t="s">
        <v>22</v>
      </c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</row>
    <row r="32" spans="2:114" s="2" customFormat="1" ht="47.25" x14ac:dyDescent="0.25">
      <c r="B32" s="19">
        <f t="shared" si="0"/>
        <v>1.5</v>
      </c>
      <c r="C32" s="20" t="s">
        <v>137</v>
      </c>
      <c r="D32" s="20" t="s">
        <v>133</v>
      </c>
      <c r="E32" s="21"/>
      <c r="F32" s="21" t="s">
        <v>138</v>
      </c>
      <c r="G32" s="21">
        <v>1322250</v>
      </c>
      <c r="H32" s="21" t="s">
        <v>17</v>
      </c>
      <c r="I32" s="21" t="s">
        <v>139</v>
      </c>
      <c r="J32" s="21" t="s">
        <v>140</v>
      </c>
      <c r="K32" s="21" t="s">
        <v>141</v>
      </c>
      <c r="L32" s="21" t="s">
        <v>29</v>
      </c>
      <c r="M32" s="21" t="s">
        <v>21</v>
      </c>
      <c r="N32" s="22">
        <v>0</v>
      </c>
      <c r="O32" s="23" t="s">
        <v>22</v>
      </c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</row>
    <row r="33" spans="2:114" s="2" customFormat="1" ht="31.5" x14ac:dyDescent="0.25">
      <c r="B33" s="19">
        <f t="shared" si="0"/>
        <v>1.5</v>
      </c>
      <c r="C33" s="20" t="s">
        <v>142</v>
      </c>
      <c r="D33" s="20" t="s">
        <v>143</v>
      </c>
      <c r="E33" s="21">
        <v>53.000000999999997</v>
      </c>
      <c r="F33" s="21" t="s">
        <v>144</v>
      </c>
      <c r="G33" s="21">
        <v>1322251</v>
      </c>
      <c r="H33" s="21" t="s">
        <v>17</v>
      </c>
      <c r="I33" s="21" t="s">
        <v>145</v>
      </c>
      <c r="J33" s="21" t="s">
        <v>146</v>
      </c>
      <c r="K33" s="21">
        <v>15000</v>
      </c>
      <c r="L33" s="21" t="s">
        <v>65</v>
      </c>
      <c r="M33" s="21" t="s">
        <v>21</v>
      </c>
      <c r="N33" s="22">
        <v>0</v>
      </c>
      <c r="O33" s="23" t="s">
        <v>22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</row>
    <row r="34" spans="2:114" s="2" customFormat="1" ht="144.75" customHeight="1" x14ac:dyDescent="0.25">
      <c r="B34" s="19">
        <v>1.5</v>
      </c>
      <c r="C34" s="20" t="s">
        <v>147</v>
      </c>
      <c r="D34" s="20" t="s">
        <v>45</v>
      </c>
      <c r="E34" s="24">
        <v>53.000000999999997</v>
      </c>
      <c r="F34" s="21" t="s">
        <v>144</v>
      </c>
      <c r="G34" s="21">
        <v>1322251</v>
      </c>
      <c r="H34" s="21" t="s">
        <v>17</v>
      </c>
      <c r="I34" s="21" t="s">
        <v>148</v>
      </c>
      <c r="J34" s="21" t="s">
        <v>149</v>
      </c>
      <c r="K34" s="25">
        <v>43100</v>
      </c>
      <c r="L34" s="21" t="s">
        <v>65</v>
      </c>
      <c r="M34" s="21" t="s">
        <v>21</v>
      </c>
      <c r="N34" s="23"/>
      <c r="O34" s="23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</row>
    <row r="35" spans="2:114" s="2" customFormat="1" ht="144" customHeight="1" x14ac:dyDescent="0.25">
      <c r="B35" s="19">
        <v>1.5</v>
      </c>
      <c r="C35" s="20" t="s">
        <v>150</v>
      </c>
      <c r="D35" s="20" t="s">
        <v>45</v>
      </c>
      <c r="E35" s="24">
        <v>53.000002000000002</v>
      </c>
      <c r="F35" s="21" t="s">
        <v>151</v>
      </c>
      <c r="G35" s="21">
        <v>1322251</v>
      </c>
      <c r="H35" s="21" t="s">
        <v>17</v>
      </c>
      <c r="I35" s="21" t="s">
        <v>152</v>
      </c>
      <c r="J35" s="21" t="s">
        <v>149</v>
      </c>
      <c r="K35" s="25">
        <v>43100</v>
      </c>
      <c r="L35" s="21" t="s">
        <v>65</v>
      </c>
      <c r="M35" s="21" t="s">
        <v>21</v>
      </c>
      <c r="N35" s="23"/>
      <c r="O35" s="23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</row>
    <row r="36" spans="2:114" s="2" customFormat="1" ht="144.75" customHeight="1" x14ac:dyDescent="0.25">
      <c r="B36" s="19">
        <v>1.5</v>
      </c>
      <c r="C36" s="20" t="s">
        <v>153</v>
      </c>
      <c r="D36" s="20" t="s">
        <v>45</v>
      </c>
      <c r="E36" s="24">
        <v>53.000019999999999</v>
      </c>
      <c r="F36" s="21" t="s">
        <v>154</v>
      </c>
      <c r="G36" s="21">
        <v>1322251</v>
      </c>
      <c r="H36" s="21" t="s">
        <v>17</v>
      </c>
      <c r="I36" s="21" t="s">
        <v>155</v>
      </c>
      <c r="J36" s="21" t="s">
        <v>149</v>
      </c>
      <c r="K36" s="25">
        <v>43100</v>
      </c>
      <c r="L36" s="21" t="s">
        <v>65</v>
      </c>
      <c r="M36" s="21" t="s">
        <v>21</v>
      </c>
      <c r="N36" s="23"/>
      <c r="O36" s="23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</row>
    <row r="37" spans="2:114" s="2" customFormat="1" ht="141.75" x14ac:dyDescent="0.25">
      <c r="B37" s="19">
        <v>1.5</v>
      </c>
      <c r="C37" s="20" t="s">
        <v>156</v>
      </c>
      <c r="D37" s="20" t="s">
        <v>45</v>
      </c>
      <c r="E37" s="24">
        <v>53.000024000000003</v>
      </c>
      <c r="F37" s="21" t="s">
        <v>157</v>
      </c>
      <c r="G37" s="21">
        <v>1322251</v>
      </c>
      <c r="H37" s="21" t="s">
        <v>17</v>
      </c>
      <c r="I37" s="21" t="s">
        <v>158</v>
      </c>
      <c r="J37" s="21" t="s">
        <v>149</v>
      </c>
      <c r="K37" s="25">
        <v>43100</v>
      </c>
      <c r="L37" s="21" t="s">
        <v>65</v>
      </c>
      <c r="M37" s="21" t="s">
        <v>21</v>
      </c>
      <c r="N37" s="23"/>
      <c r="O37" s="23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</row>
    <row r="38" spans="2:114" s="2" customFormat="1" ht="141.75" x14ac:dyDescent="0.25">
      <c r="B38" s="19"/>
      <c r="C38" s="20" t="s">
        <v>159</v>
      </c>
      <c r="D38" s="20" t="s">
        <v>45</v>
      </c>
      <c r="E38" s="24">
        <v>53.000051999999997</v>
      </c>
      <c r="F38" s="21" t="s">
        <v>160</v>
      </c>
      <c r="G38" s="21">
        <v>1322251</v>
      </c>
      <c r="H38" s="21" t="s">
        <v>17</v>
      </c>
      <c r="I38" s="21" t="s">
        <v>161</v>
      </c>
      <c r="J38" s="21" t="s">
        <v>149</v>
      </c>
      <c r="K38" s="25">
        <v>43100</v>
      </c>
      <c r="L38" s="21" t="s">
        <v>65</v>
      </c>
      <c r="M38" s="21" t="s">
        <v>21</v>
      </c>
      <c r="N38" s="23"/>
      <c r="O38" s="23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</row>
    <row r="39" spans="2:114" s="2" customFormat="1" ht="15.75" x14ac:dyDescent="0.25">
      <c r="B39" s="19"/>
      <c r="C39" s="20"/>
      <c r="D39" s="20"/>
      <c r="E39" s="24"/>
      <c r="F39" s="21"/>
      <c r="G39" s="21"/>
      <c r="H39" s="21"/>
      <c r="I39" s="21"/>
      <c r="J39" s="21"/>
      <c r="K39" s="21"/>
      <c r="L39" s="21"/>
      <c r="M39" s="21"/>
      <c r="N39" s="23"/>
      <c r="O39" s="23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</row>
    <row r="40" spans="2:114" s="2" customFormat="1" ht="15.75" x14ac:dyDescent="0.25">
      <c r="B40" s="19"/>
      <c r="C40" s="20"/>
      <c r="D40" s="20"/>
      <c r="E40" s="24"/>
      <c r="F40" s="21"/>
      <c r="G40" s="21"/>
      <c r="H40" s="21"/>
      <c r="I40" s="21"/>
      <c r="J40" s="21"/>
      <c r="K40" s="21"/>
      <c r="L40" s="21"/>
      <c r="M40" s="21"/>
      <c r="N40" s="23"/>
      <c r="O40" s="23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</row>
    <row r="41" spans="2:114" s="2" customFormat="1" ht="15.75" x14ac:dyDescent="0.25">
      <c r="B41" s="19"/>
      <c r="C41" s="20"/>
      <c r="D41" s="20"/>
      <c r="E41" s="24"/>
      <c r="F41" s="21"/>
      <c r="G41" s="21"/>
      <c r="H41" s="21"/>
      <c r="I41" s="21"/>
      <c r="J41" s="21"/>
      <c r="K41" s="21"/>
      <c r="L41" s="21"/>
      <c r="M41" s="21"/>
      <c r="N41" s="23"/>
      <c r="O41" s="23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</row>
    <row r="42" spans="2:114" s="2" customFormat="1" ht="15.75" x14ac:dyDescent="0.25">
      <c r="B42" s="19"/>
      <c r="C42" s="20"/>
      <c r="D42" s="20"/>
      <c r="E42" s="24"/>
      <c r="F42" s="21"/>
      <c r="G42" s="21"/>
      <c r="H42" s="21"/>
      <c r="I42" s="21"/>
      <c r="J42" s="21"/>
      <c r="K42" s="21"/>
      <c r="L42" s="21"/>
      <c r="M42" s="21"/>
      <c r="N42" s="23"/>
      <c r="O42" s="23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</row>
    <row r="43" spans="2:114" s="2" customFormat="1" ht="15.75" x14ac:dyDescent="0.25">
      <c r="B43" s="19"/>
      <c r="C43" s="20"/>
      <c r="D43" s="20"/>
      <c r="E43" s="24"/>
      <c r="F43" s="21"/>
      <c r="G43" s="21"/>
      <c r="H43" s="21"/>
      <c r="I43" s="21"/>
      <c r="J43" s="21"/>
      <c r="K43" s="21"/>
      <c r="L43" s="21"/>
      <c r="M43" s="21"/>
      <c r="N43" s="23"/>
      <c r="O43" s="2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</row>
    <row r="44" spans="2:114" s="2" customFormat="1" ht="15.75" x14ac:dyDescent="0.25">
      <c r="B44" s="19"/>
      <c r="C44" s="20"/>
      <c r="D44" s="20"/>
      <c r="E44" s="24"/>
      <c r="F44" s="21"/>
      <c r="G44" s="21"/>
      <c r="H44" s="21"/>
      <c r="I44" s="21"/>
      <c r="J44" s="21"/>
      <c r="K44" s="21"/>
      <c r="L44" s="21"/>
      <c r="M44" s="21"/>
      <c r="N44" s="23"/>
      <c r="O44" s="23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</row>
    <row r="45" spans="2:114" s="2" customFormat="1" ht="15.75" x14ac:dyDescent="0.25">
      <c r="B45" s="19"/>
      <c r="C45" s="20"/>
      <c r="D45" s="20"/>
      <c r="E45" s="24"/>
      <c r="F45" s="21"/>
      <c r="G45" s="21"/>
      <c r="H45" s="21"/>
      <c r="I45" s="21"/>
      <c r="J45" s="21"/>
      <c r="K45" s="21"/>
      <c r="L45" s="21"/>
      <c r="M45" s="21"/>
      <c r="N45" s="23"/>
      <c r="O45" s="23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</row>
    <row r="46" spans="2:114" s="2" customFormat="1" ht="15.75" x14ac:dyDescent="0.25">
      <c r="B46" s="19"/>
      <c r="C46" s="20"/>
      <c r="D46" s="20"/>
      <c r="E46" s="24"/>
      <c r="F46" s="21"/>
      <c r="G46" s="21"/>
      <c r="H46" s="21"/>
      <c r="I46" s="21"/>
      <c r="J46" s="21"/>
      <c r="K46" s="21"/>
      <c r="L46" s="21"/>
      <c r="M46" s="21"/>
      <c r="N46" s="23"/>
      <c r="O46" s="23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</row>
    <row r="47" spans="2:114" s="2" customFormat="1" ht="15.75" x14ac:dyDescent="0.25">
      <c r="B47" s="19"/>
      <c r="C47" s="20"/>
      <c r="D47" s="20"/>
      <c r="E47" s="24"/>
      <c r="F47" s="21"/>
      <c r="G47" s="21"/>
      <c r="H47" s="21"/>
      <c r="I47" s="21"/>
      <c r="J47" s="21"/>
      <c r="K47" s="21"/>
      <c r="L47" s="21"/>
      <c r="M47" s="21"/>
      <c r="N47" s="23"/>
      <c r="O47" s="23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</row>
    <row r="48" spans="2:114" s="2" customFormat="1" ht="15.75" x14ac:dyDescent="0.25">
      <c r="B48" s="19"/>
      <c r="C48" s="20"/>
      <c r="D48" s="20"/>
      <c r="E48" s="24"/>
      <c r="F48" s="21"/>
      <c r="G48" s="21"/>
      <c r="H48" s="21"/>
      <c r="I48" s="21"/>
      <c r="J48" s="21"/>
      <c r="K48" s="21"/>
      <c r="L48" s="21"/>
      <c r="M48" s="21"/>
      <c r="N48" s="23"/>
      <c r="O48" s="23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</row>
    <row r="49" spans="2:114" s="2" customFormat="1" ht="15.75" x14ac:dyDescent="0.25">
      <c r="B49" s="19"/>
      <c r="C49" s="20"/>
      <c r="D49" s="20"/>
      <c r="E49" s="24"/>
      <c r="F49" s="21"/>
      <c r="G49" s="21"/>
      <c r="H49" s="21"/>
      <c r="I49" s="21"/>
      <c r="J49" s="21"/>
      <c r="K49" s="21"/>
      <c r="L49" s="21"/>
      <c r="M49" s="21"/>
      <c r="N49" s="23"/>
      <c r="O49" s="23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</row>
    <row r="50" spans="2:114" s="2" customFormat="1" ht="15.75" x14ac:dyDescent="0.25">
      <c r="B50" s="19"/>
      <c r="C50" s="20"/>
      <c r="D50" s="20"/>
      <c r="E50" s="24"/>
      <c r="F50" s="21"/>
      <c r="G50" s="21"/>
      <c r="H50" s="21"/>
      <c r="I50" s="21"/>
      <c r="J50" s="21"/>
      <c r="K50" s="21"/>
      <c r="L50" s="21"/>
      <c r="M50" s="21"/>
      <c r="N50" s="23"/>
      <c r="O50" s="23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</row>
    <row r="51" spans="2:114" s="2" customFormat="1" ht="15.75" x14ac:dyDescent="0.25">
      <c r="B51" s="19"/>
      <c r="C51" s="20"/>
      <c r="D51" s="20"/>
      <c r="E51" s="24"/>
      <c r="F51" s="21"/>
      <c r="G51" s="21"/>
      <c r="H51" s="21"/>
      <c r="I51" s="21"/>
      <c r="J51" s="21"/>
      <c r="K51" s="21"/>
      <c r="L51" s="21"/>
      <c r="M51" s="21"/>
      <c r="N51" s="23"/>
      <c r="O51" s="23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</row>
    <row r="52" spans="2:114" s="2" customFormat="1" ht="15.75" x14ac:dyDescent="0.25">
      <c r="B52" s="19"/>
      <c r="C52" s="20"/>
      <c r="D52" s="20"/>
      <c r="E52" s="24"/>
      <c r="F52" s="21"/>
      <c r="G52" s="21"/>
      <c r="H52" s="21"/>
      <c r="I52" s="21"/>
      <c r="J52" s="21"/>
      <c r="K52" s="21"/>
      <c r="L52" s="21"/>
      <c r="M52" s="21"/>
      <c r="N52" s="23"/>
      <c r="O52" s="23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</row>
    <row r="53" spans="2:114" s="2" customFormat="1" ht="15.75" x14ac:dyDescent="0.25">
      <c r="B53" s="19"/>
      <c r="C53" s="20"/>
      <c r="D53" s="20"/>
      <c r="E53" s="24"/>
      <c r="F53" s="21"/>
      <c r="G53" s="21"/>
      <c r="H53" s="21"/>
      <c r="I53" s="21"/>
      <c r="J53" s="21"/>
      <c r="K53" s="21"/>
      <c r="L53" s="21"/>
      <c r="M53" s="21"/>
      <c r="N53" s="23"/>
      <c r="O53" s="2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</row>
    <row r="54" spans="2:114" s="2" customFormat="1" ht="15.75" x14ac:dyDescent="0.25">
      <c r="B54" s="19"/>
      <c r="C54" s="20"/>
      <c r="D54" s="20"/>
      <c r="E54" s="24"/>
      <c r="F54" s="21"/>
      <c r="G54" s="21"/>
      <c r="H54" s="21"/>
      <c r="I54" s="21"/>
      <c r="J54" s="21"/>
      <c r="K54" s="21"/>
      <c r="L54" s="21"/>
      <c r="M54" s="21"/>
      <c r="N54" s="23"/>
      <c r="O54" s="23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</row>
    <row r="55" spans="2:114" s="2" customFormat="1" ht="15.75" x14ac:dyDescent="0.25">
      <c r="B55" s="19"/>
      <c r="C55" s="20"/>
      <c r="D55" s="20"/>
      <c r="E55" s="24"/>
      <c r="F55" s="21"/>
      <c r="G55" s="21"/>
      <c r="H55" s="21"/>
      <c r="I55" s="21"/>
      <c r="J55" s="21"/>
      <c r="K55" s="21"/>
      <c r="L55" s="21"/>
      <c r="M55" s="21"/>
      <c r="N55" s="23"/>
      <c r="O55" s="23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</row>
    <row r="56" spans="2:114" s="2" customFormat="1" ht="15.75" x14ac:dyDescent="0.25">
      <c r="B56" s="19"/>
      <c r="C56" s="20"/>
      <c r="D56" s="20"/>
      <c r="E56" s="24"/>
      <c r="F56" s="21"/>
      <c r="G56" s="21"/>
      <c r="H56" s="21"/>
      <c r="I56" s="21"/>
      <c r="J56" s="21"/>
      <c r="K56" s="21"/>
      <c r="L56" s="21"/>
      <c r="M56" s="21"/>
      <c r="N56" s="23"/>
      <c r="O56" s="23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</row>
    <row r="57" spans="2:114" s="2" customFormat="1" ht="15.75" x14ac:dyDescent="0.25">
      <c r="B57" s="19"/>
      <c r="C57" s="20"/>
      <c r="D57" s="20"/>
      <c r="E57" s="24"/>
      <c r="F57" s="21"/>
      <c r="G57" s="21"/>
      <c r="H57" s="21"/>
      <c r="I57" s="21"/>
      <c r="J57" s="21"/>
      <c r="K57" s="21"/>
      <c r="L57" s="21"/>
      <c r="M57" s="21"/>
      <c r="N57" s="23"/>
      <c r="O57" s="23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</row>
    <row r="58" spans="2:114" s="2" customFormat="1" ht="15.75" x14ac:dyDescent="0.25">
      <c r="B58" s="19"/>
      <c r="C58" s="20"/>
      <c r="D58" s="20"/>
      <c r="E58" s="24"/>
      <c r="F58" s="21"/>
      <c r="G58" s="21"/>
      <c r="H58" s="21"/>
      <c r="I58" s="21"/>
      <c r="J58" s="21"/>
      <c r="K58" s="21"/>
      <c r="L58" s="21"/>
      <c r="M58" s="21"/>
      <c r="N58" s="23"/>
      <c r="O58" s="23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</row>
    <row r="59" spans="2:114" s="2" customFormat="1" ht="15.75" x14ac:dyDescent="0.25">
      <c r="B59" s="19"/>
      <c r="C59" s="20"/>
      <c r="D59" s="20"/>
      <c r="E59" s="24"/>
      <c r="F59" s="21"/>
      <c r="G59" s="21"/>
      <c r="H59" s="21"/>
      <c r="I59" s="21"/>
      <c r="J59" s="21"/>
      <c r="K59" s="21"/>
      <c r="L59" s="21"/>
      <c r="M59" s="21"/>
      <c r="N59" s="23"/>
      <c r="O59" s="23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</row>
    <row r="60" spans="2:114" s="2" customFormat="1" ht="15.75" x14ac:dyDescent="0.25">
      <c r="B60" s="19"/>
      <c r="C60" s="20"/>
      <c r="D60" s="20"/>
      <c r="E60" s="24"/>
      <c r="F60" s="21"/>
      <c r="G60" s="21"/>
      <c r="H60" s="21"/>
      <c r="I60" s="21"/>
      <c r="J60" s="21"/>
      <c r="K60" s="21"/>
      <c r="L60" s="21"/>
      <c r="M60" s="21"/>
      <c r="N60" s="23"/>
      <c r="O60" s="23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</row>
    <row r="61" spans="2:114" s="2" customFormat="1" ht="15.75" x14ac:dyDescent="0.25">
      <c r="B61" s="19"/>
      <c r="C61" s="20"/>
      <c r="D61" s="20"/>
      <c r="E61" s="24"/>
      <c r="F61" s="21"/>
      <c r="G61" s="21"/>
      <c r="H61" s="21"/>
      <c r="I61" s="21"/>
      <c r="J61" s="21"/>
      <c r="K61" s="21"/>
      <c r="L61" s="21"/>
      <c r="M61" s="21"/>
      <c r="N61" s="23"/>
      <c r="O61" s="23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</row>
    <row r="62" spans="2:114" s="2" customFormat="1" ht="15.75" x14ac:dyDescent="0.25">
      <c r="B62" s="19"/>
      <c r="C62" s="20"/>
      <c r="D62" s="20"/>
      <c r="E62" s="24"/>
      <c r="F62" s="21"/>
      <c r="G62" s="21"/>
      <c r="H62" s="21"/>
      <c r="I62" s="21"/>
      <c r="J62" s="21"/>
      <c r="K62" s="21"/>
      <c r="L62" s="21"/>
      <c r="M62" s="21"/>
      <c r="N62" s="23"/>
      <c r="O62" s="23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</row>
    <row r="63" spans="2:114" s="2" customFormat="1" x14ac:dyDescent="0.25">
      <c r="B63" s="6"/>
      <c r="C63" s="6"/>
      <c r="D63" s="6"/>
      <c r="E63" s="6"/>
      <c r="F63" s="6"/>
      <c r="G63" s="1"/>
      <c r="H63" s="7"/>
      <c r="I63" s="7"/>
      <c r="J63" s="7"/>
      <c r="K63" s="7"/>
      <c r="N63" s="3"/>
      <c r="O63" s="3"/>
    </row>
    <row r="64" spans="2:114" s="2" customFormat="1" x14ac:dyDescent="0.25">
      <c r="B64" s="6"/>
      <c r="C64" s="6"/>
      <c r="D64" s="6"/>
      <c r="E64" s="6"/>
      <c r="F64" s="6"/>
      <c r="G64" s="1"/>
      <c r="H64" s="7"/>
      <c r="I64" s="7"/>
      <c r="J64" s="7"/>
      <c r="K64" s="7"/>
      <c r="N64" s="3"/>
      <c r="O64" s="3"/>
    </row>
    <row r="65" spans="2:15" s="2" customFormat="1" x14ac:dyDescent="0.25">
      <c r="B65" s="6"/>
      <c r="C65" s="6"/>
      <c r="D65" s="6"/>
      <c r="E65" s="6"/>
      <c r="F65" s="6"/>
      <c r="G65" s="1"/>
      <c r="H65" s="7"/>
      <c r="I65" s="7"/>
      <c r="J65" s="7"/>
      <c r="K65" s="7"/>
      <c r="N65" s="3"/>
      <c r="O65" s="3"/>
    </row>
    <row r="66" spans="2:15" s="2" customFormat="1" x14ac:dyDescent="0.25">
      <c r="B66" s="6"/>
      <c r="C66" s="6"/>
      <c r="D66" s="6"/>
      <c r="E66" s="6"/>
      <c r="F66" s="6"/>
      <c r="G66" s="1"/>
      <c r="H66" s="7"/>
      <c r="I66" s="7"/>
      <c r="J66" s="7"/>
      <c r="K66" s="7"/>
      <c r="N66" s="3"/>
      <c r="O66" s="3"/>
    </row>
    <row r="67" spans="2:15" s="2" customFormat="1" x14ac:dyDescent="0.25">
      <c r="B67" s="6"/>
      <c r="C67" s="6"/>
      <c r="D67" s="6"/>
      <c r="E67" s="6"/>
      <c r="F67" s="6"/>
      <c r="G67" s="1"/>
      <c r="H67" s="7"/>
      <c r="I67" s="7"/>
      <c r="J67" s="7"/>
      <c r="K67" s="7"/>
      <c r="N67" s="3"/>
      <c r="O67" s="3"/>
    </row>
    <row r="68" spans="2:15" s="2" customFormat="1" x14ac:dyDescent="0.25">
      <c r="B68" s="6"/>
      <c r="C68" s="6"/>
      <c r="D68" s="6"/>
      <c r="E68" s="6"/>
      <c r="F68" s="6"/>
      <c r="G68" s="1"/>
      <c r="H68" s="7"/>
      <c r="I68" s="7"/>
      <c r="J68" s="7"/>
      <c r="K68" s="7"/>
      <c r="N68" s="3"/>
      <c r="O68" s="3"/>
    </row>
    <row r="69" spans="2:15" s="2" customFormat="1" x14ac:dyDescent="0.25">
      <c r="B69" s="6"/>
      <c r="C69" s="6"/>
      <c r="D69" s="6"/>
      <c r="E69" s="6"/>
      <c r="F69" s="6"/>
      <c r="G69" s="1"/>
      <c r="H69" s="7"/>
      <c r="I69" s="7"/>
      <c r="J69" s="7"/>
      <c r="K69" s="7"/>
      <c r="N69" s="3"/>
      <c r="O69" s="3"/>
    </row>
    <row r="70" spans="2:15" s="2" customFormat="1" x14ac:dyDescent="0.25">
      <c r="B70" s="6"/>
      <c r="C70" s="6"/>
      <c r="D70" s="6"/>
      <c r="E70" s="6"/>
      <c r="F70" s="6"/>
      <c r="G70" s="1"/>
      <c r="H70" s="7"/>
      <c r="I70" s="7"/>
      <c r="J70" s="7"/>
      <c r="K70" s="7"/>
      <c r="N70" s="3"/>
      <c r="O70" s="3"/>
    </row>
    <row r="71" spans="2:15" s="2" customFormat="1" x14ac:dyDescent="0.25">
      <c r="B71" s="6"/>
      <c r="C71" s="6"/>
      <c r="D71" s="6"/>
      <c r="E71" s="6"/>
      <c r="F71" s="6"/>
      <c r="G71" s="1"/>
      <c r="H71" s="7"/>
      <c r="I71" s="7"/>
      <c r="J71" s="7"/>
      <c r="K71" s="7"/>
      <c r="N71" s="3"/>
      <c r="O71" s="3"/>
    </row>
    <row r="72" spans="2:15" s="2" customFormat="1" x14ac:dyDescent="0.25">
      <c r="B72" s="6"/>
      <c r="C72" s="6"/>
      <c r="D72" s="6"/>
      <c r="E72" s="6"/>
      <c r="F72" s="6"/>
      <c r="G72" s="1"/>
      <c r="H72" s="7"/>
      <c r="I72" s="7"/>
      <c r="J72" s="7"/>
      <c r="K72" s="7"/>
      <c r="N72" s="3"/>
      <c r="O72" s="3"/>
    </row>
    <row r="73" spans="2:15" s="2" customFormat="1" x14ac:dyDescent="0.25">
      <c r="B73" s="6"/>
      <c r="C73" s="6"/>
      <c r="D73" s="6"/>
      <c r="E73" s="6"/>
      <c r="F73" s="6"/>
      <c r="G73" s="1"/>
      <c r="H73" s="7"/>
      <c r="I73" s="7"/>
      <c r="J73" s="7"/>
      <c r="K73" s="7"/>
      <c r="N73" s="3"/>
      <c r="O73" s="3"/>
    </row>
    <row r="74" spans="2:15" s="2" customFormat="1" x14ac:dyDescent="0.25">
      <c r="B74" s="6"/>
      <c r="C74" s="6"/>
      <c r="D74" s="6"/>
      <c r="E74" s="6"/>
      <c r="F74" s="6"/>
      <c r="G74" s="1"/>
      <c r="H74" s="7"/>
      <c r="I74" s="7"/>
      <c r="J74" s="7"/>
      <c r="K74" s="7"/>
      <c r="N74" s="3"/>
      <c r="O74" s="3"/>
    </row>
    <row r="75" spans="2:15" s="2" customFormat="1" x14ac:dyDescent="0.25">
      <c r="B75" s="6"/>
      <c r="C75" s="6"/>
      <c r="D75" s="6"/>
      <c r="E75" s="6"/>
      <c r="F75" s="6"/>
      <c r="G75" s="1"/>
      <c r="H75" s="7"/>
      <c r="I75" s="7"/>
      <c r="J75" s="7"/>
      <c r="K75" s="7"/>
      <c r="N75" s="3"/>
      <c r="O75" s="3"/>
    </row>
    <row r="76" spans="2:15" s="2" customFormat="1" x14ac:dyDescent="0.25">
      <c r="B76" s="6"/>
      <c r="C76" s="6"/>
      <c r="D76" s="6"/>
      <c r="E76" s="6"/>
      <c r="F76" s="6"/>
      <c r="G76" s="1"/>
      <c r="H76" s="7"/>
      <c r="I76" s="7"/>
      <c r="J76" s="7"/>
      <c r="K76" s="7"/>
      <c r="N76" s="3"/>
      <c r="O76" s="3"/>
    </row>
    <row r="77" spans="2:15" s="2" customFormat="1" x14ac:dyDescent="0.25">
      <c r="B77" s="6"/>
      <c r="C77" s="6"/>
      <c r="D77" s="6"/>
      <c r="E77" s="6"/>
      <c r="F77" s="6"/>
      <c r="G77" s="1"/>
      <c r="H77" s="7"/>
      <c r="I77" s="7"/>
      <c r="J77" s="7"/>
      <c r="K77" s="7"/>
      <c r="N77" s="3"/>
      <c r="O77" s="3"/>
    </row>
    <row r="78" spans="2:15" s="2" customFormat="1" x14ac:dyDescent="0.25">
      <c r="B78" s="6"/>
      <c r="C78" s="6"/>
      <c r="D78" s="6"/>
      <c r="E78" s="6"/>
      <c r="F78" s="6"/>
      <c r="G78" s="1"/>
      <c r="H78" s="7"/>
      <c r="I78" s="7"/>
      <c r="J78" s="7"/>
      <c r="K78" s="7"/>
      <c r="N78" s="3"/>
      <c r="O78" s="3"/>
    </row>
    <row r="79" spans="2:15" s="2" customFormat="1" x14ac:dyDescent="0.25">
      <c r="B79" s="6"/>
      <c r="C79" s="6"/>
      <c r="D79" s="6"/>
      <c r="E79" s="6"/>
      <c r="F79" s="6"/>
      <c r="G79" s="1"/>
      <c r="H79" s="7"/>
      <c r="I79" s="7"/>
      <c r="J79" s="7"/>
      <c r="K79" s="7"/>
      <c r="N79" s="3"/>
      <c r="O79" s="3"/>
    </row>
    <row r="80" spans="2:15" s="2" customFormat="1" x14ac:dyDescent="0.25">
      <c r="B80" s="6"/>
      <c r="C80" s="6"/>
      <c r="D80" s="6"/>
      <c r="E80" s="6"/>
      <c r="F80" s="6"/>
      <c r="G80" s="1"/>
      <c r="H80" s="7"/>
      <c r="I80" s="7"/>
      <c r="J80" s="7"/>
      <c r="K80" s="7"/>
      <c r="N80" s="3"/>
      <c r="O80" s="3"/>
    </row>
    <row r="81" spans="2:15" s="2" customFormat="1" x14ac:dyDescent="0.25">
      <c r="B81" s="6"/>
      <c r="C81" s="6"/>
      <c r="D81" s="6"/>
      <c r="E81" s="6"/>
      <c r="F81" s="6"/>
      <c r="G81" s="1"/>
      <c r="H81" s="7"/>
      <c r="I81" s="7"/>
      <c r="J81" s="7"/>
      <c r="K81" s="7"/>
      <c r="N81" s="3"/>
      <c r="O81" s="3"/>
    </row>
  </sheetData>
  <autoFilter ref="A3:DJ38" xr:uid="{00000000-0009-0000-0000-000000000000}"/>
  <dataConsolidate link="1"/>
  <mergeCells count="1">
    <mergeCell ref="B2:L2"/>
  </mergeCells>
  <conditionalFormatting sqref="N4:O5 O6:O33">
    <cfRule type="dataBar" priority="4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{80D9193B-3090-4565-8AF4-E6BB79305D9A}</x14:id>
        </ext>
      </extLst>
    </cfRule>
  </conditionalFormatting>
  <conditionalFormatting sqref="N6:N10">
    <cfRule type="dataBar" priority="4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{F2D0AB73-C72E-421B-BBE1-879EDC53F27C}</x14:id>
        </ext>
      </extLst>
    </cfRule>
  </conditionalFormatting>
  <conditionalFormatting sqref="N11:N14">
    <cfRule type="dataBar" priority="4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{924A4C32-7A72-4B09-9801-1DB0A8E920A9}</x14:id>
        </ext>
      </extLst>
    </cfRule>
  </conditionalFormatting>
  <conditionalFormatting sqref="B4:B33">
    <cfRule type="iconSet" priority="49">
      <iconSet iconSet="3TrafficLights2" showValue="0">
        <cfvo type="percent" val="0"/>
        <cfvo type="num" val="1"/>
        <cfvo type="num" val="2"/>
      </iconSet>
    </cfRule>
  </conditionalFormatting>
  <conditionalFormatting sqref="N16">
    <cfRule type="dataBar" priority="3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{7A0A20FB-0072-4B42-8FD8-184989AECFEA}</x14:id>
        </ext>
      </extLst>
    </cfRule>
  </conditionalFormatting>
  <conditionalFormatting sqref="N15">
    <cfRule type="dataBar" priority="2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{8D164EE0-BE68-4962-B3C0-C10A52A321FB}</x14:id>
        </ext>
      </extLst>
    </cfRule>
  </conditionalFormatting>
  <conditionalFormatting sqref="N17">
    <cfRule type="dataBar" priority="2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{CA814BCF-CA8B-4C3C-B0B1-A1999F771D0F}</x14:id>
        </ext>
      </extLst>
    </cfRule>
  </conditionalFormatting>
  <conditionalFormatting sqref="N18:N20 N22 N25:N28">
    <cfRule type="dataBar" priority="2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{D11D59F1-5795-4780-B53F-F9C072C2A0E9}</x14:id>
        </ext>
      </extLst>
    </cfRule>
  </conditionalFormatting>
  <conditionalFormatting sqref="N21">
    <cfRule type="dataBar" priority="2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{16799BFC-5504-4731-97DD-E481161B3688}</x14:id>
        </ext>
      </extLst>
    </cfRule>
  </conditionalFormatting>
  <conditionalFormatting sqref="N23:N24">
    <cfRule type="dataBar" priority="1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{E70162D1-7918-4838-9C0C-C3DB8E1F7816}</x14:id>
        </ext>
      </extLst>
    </cfRule>
  </conditionalFormatting>
  <conditionalFormatting sqref="O37">
    <cfRule type="dataBar" priority="1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{E2E7B4DC-FC50-4706-B1A5-FB97C4D1717A}</x14:id>
        </ext>
      </extLst>
    </cfRule>
  </conditionalFormatting>
  <conditionalFormatting sqref="N29:N33">
    <cfRule type="dataBar" priority="1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{E8533DF9-E30A-4D1D-A511-D9AA175C0357}</x14:id>
        </ext>
      </extLst>
    </cfRule>
  </conditionalFormatting>
  <conditionalFormatting sqref="B37">
    <cfRule type="iconSet" priority="11">
      <iconSet iconSet="3TrafficLights2" showValue="0">
        <cfvo type="percent" val="0"/>
        <cfvo type="num" val="1"/>
        <cfvo type="num" val="2"/>
      </iconSet>
    </cfRule>
  </conditionalFormatting>
  <conditionalFormatting sqref="N37">
    <cfRule type="dataBar" priority="1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{FDE27124-070F-487D-914D-5B9208E7CC0A}</x14:id>
        </ext>
      </extLst>
    </cfRule>
  </conditionalFormatting>
  <conditionalFormatting sqref="O38:O62">
    <cfRule type="dataBar" priority="9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{57A878E4-2635-40E3-BDE5-99510F949975}</x14:id>
        </ext>
      </extLst>
    </cfRule>
  </conditionalFormatting>
  <conditionalFormatting sqref="B38:B62">
    <cfRule type="iconSet" priority="8">
      <iconSet iconSet="3TrafficLights2" showValue="0">
        <cfvo type="percent" val="0"/>
        <cfvo type="num" val="1"/>
        <cfvo type="num" val="2"/>
      </iconSet>
    </cfRule>
  </conditionalFormatting>
  <conditionalFormatting sqref="N38:N62">
    <cfRule type="dataBar" priority="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{69E1759C-D0E1-48BD-8497-6CEF9B3CF4AC}</x14:id>
        </ext>
      </extLst>
    </cfRule>
  </conditionalFormatting>
  <conditionalFormatting sqref="O34:O36">
    <cfRule type="dataBar" priority="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{3E3ADDF6-A99D-4543-A980-5D248B935055}</x14:id>
        </ext>
      </extLst>
    </cfRule>
  </conditionalFormatting>
  <conditionalFormatting sqref="N34:N36">
    <cfRule type="dataBar" priority="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{5CF3E195-B85B-431A-A559-1D6BD4F3A7DF}</x14:id>
        </ext>
      </extLst>
    </cfRule>
  </conditionalFormatting>
  <conditionalFormatting sqref="B36">
    <cfRule type="iconSet" priority="3">
      <iconSet iconSet="3TrafficLights2" showValue="0">
        <cfvo type="percent" val="0"/>
        <cfvo type="num" val="1"/>
        <cfvo type="num" val="2"/>
      </iconSet>
    </cfRule>
  </conditionalFormatting>
  <conditionalFormatting sqref="B35">
    <cfRule type="iconSet" priority="2">
      <iconSet iconSet="3TrafficLights2" showValue="0">
        <cfvo type="percent" val="0"/>
        <cfvo type="num" val="1"/>
        <cfvo type="num" val="2"/>
      </iconSet>
    </cfRule>
  </conditionalFormatting>
  <conditionalFormatting sqref="B34">
    <cfRule type="iconSet" priority="1">
      <iconSet iconSet="3TrafficLights2" showValue="0">
        <cfvo type="percent" val="0"/>
        <cfvo type="num" val="1"/>
        <cfvo type="num" val="2"/>
      </iconSet>
    </cfRule>
  </conditionalFormatting>
  <pageMargins left="0.7" right="0.7" top="0.78740157499999996" bottom="0.78740157499999996" header="0.3" footer="0.3"/>
  <pageSetup paperSize="8" scale="1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D9193B-3090-4565-8AF4-E6BB79305D9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N4:O5 O6:O33</xm:sqref>
        </x14:conditionalFormatting>
        <x14:conditionalFormatting xmlns:xm="http://schemas.microsoft.com/office/excel/2006/main">
          <x14:cfRule type="dataBar" id="{F2D0AB73-C72E-421B-BBE1-879EDC53F27C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N6:N10</xm:sqref>
        </x14:conditionalFormatting>
        <x14:conditionalFormatting xmlns:xm="http://schemas.microsoft.com/office/excel/2006/main">
          <x14:cfRule type="dataBar" id="{924A4C32-7A72-4B09-9801-1DB0A8E920A9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N11:N14</xm:sqref>
        </x14:conditionalFormatting>
        <x14:conditionalFormatting xmlns:xm="http://schemas.microsoft.com/office/excel/2006/main">
          <x14:cfRule type="dataBar" id="{7A0A20FB-0072-4B42-8FD8-184989AECFE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8D164EE0-BE68-4962-B3C0-C10A52A321FB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CA814BCF-CA8B-4C3C-B0B1-A1999F771D0F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N17</xm:sqref>
        </x14:conditionalFormatting>
        <x14:conditionalFormatting xmlns:xm="http://schemas.microsoft.com/office/excel/2006/main">
          <x14:cfRule type="dataBar" id="{D11D59F1-5795-4780-B53F-F9C072C2A0E9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N18:N20 N22 N25:N28</xm:sqref>
        </x14:conditionalFormatting>
        <x14:conditionalFormatting xmlns:xm="http://schemas.microsoft.com/office/excel/2006/main">
          <x14:cfRule type="dataBar" id="{16799BFC-5504-4731-97DD-E481161B3688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N21</xm:sqref>
        </x14:conditionalFormatting>
        <x14:conditionalFormatting xmlns:xm="http://schemas.microsoft.com/office/excel/2006/main">
          <x14:cfRule type="dataBar" id="{E70162D1-7918-4838-9C0C-C3DB8E1F7816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N23:N24</xm:sqref>
        </x14:conditionalFormatting>
        <x14:conditionalFormatting xmlns:xm="http://schemas.microsoft.com/office/excel/2006/main">
          <x14:cfRule type="dataBar" id="{E2E7B4DC-FC50-4706-B1A5-FB97C4D1717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O37</xm:sqref>
        </x14:conditionalFormatting>
        <x14:conditionalFormatting xmlns:xm="http://schemas.microsoft.com/office/excel/2006/main">
          <x14:cfRule type="dataBar" id="{E8533DF9-E30A-4D1D-A511-D9AA175C0357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N29:N33</xm:sqref>
        </x14:conditionalFormatting>
        <x14:conditionalFormatting xmlns:xm="http://schemas.microsoft.com/office/excel/2006/main">
          <x14:cfRule type="dataBar" id="{FDE27124-070F-487D-914D-5B9208E7CC0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N37</xm:sqref>
        </x14:conditionalFormatting>
        <x14:conditionalFormatting xmlns:xm="http://schemas.microsoft.com/office/excel/2006/main">
          <x14:cfRule type="dataBar" id="{57A878E4-2635-40E3-BDE5-99510F949975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O38:O62</xm:sqref>
        </x14:conditionalFormatting>
        <x14:conditionalFormatting xmlns:xm="http://schemas.microsoft.com/office/excel/2006/main">
          <x14:cfRule type="dataBar" id="{69E1759C-D0E1-48BD-8497-6CEF9B3CF4AC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N38:N62</xm:sqref>
        </x14:conditionalFormatting>
        <x14:conditionalFormatting xmlns:xm="http://schemas.microsoft.com/office/excel/2006/main">
          <x14:cfRule type="dataBar" id="{3E3ADDF6-A99D-4543-A980-5D248B935055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O34:O36</xm:sqref>
        </x14:conditionalFormatting>
        <x14:conditionalFormatting xmlns:xm="http://schemas.microsoft.com/office/excel/2006/main">
          <x14:cfRule type="dataBar" id="{5CF3E195-B85B-431A-A559-1D6BD4F3A7DF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N34:N36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'Status Liste'!$A$2:$A$4</xm:f>
          </x14:formula1>
          <xm:sqref>O4:O37 N37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D29" sqref="D29"/>
    </sheetView>
  </sheetViews>
  <sheetFormatPr baseColWidth="10" defaultColWidth="11.42578125" defaultRowHeight="15" x14ac:dyDescent="0.25"/>
  <cols>
    <col min="1" max="1" width="12.5703125" customWidth="1"/>
  </cols>
  <sheetData>
    <row r="1" spans="1:1" x14ac:dyDescent="0.25">
      <c r="A1" t="s">
        <v>12</v>
      </c>
    </row>
    <row r="2" spans="1:1" x14ac:dyDescent="0.25">
      <c r="A2" t="s">
        <v>162</v>
      </c>
    </row>
    <row r="3" spans="1:1" x14ac:dyDescent="0.25">
      <c r="A3" t="s">
        <v>22</v>
      </c>
    </row>
    <row r="4" spans="1:1" x14ac:dyDescent="0.25">
      <c r="A4" t="s">
        <v>163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9"/>
  <sheetViews>
    <sheetView workbookViewId="0">
      <selection activeCell="A4" sqref="A4:B8"/>
    </sheetView>
  </sheetViews>
  <sheetFormatPr baseColWidth="10" defaultColWidth="11.42578125" defaultRowHeight="15" x14ac:dyDescent="0.25"/>
  <cols>
    <col min="1" max="1" width="21" bestFit="1" customWidth="1"/>
    <col min="2" max="2" width="17.140625" bestFit="1" customWidth="1"/>
  </cols>
  <sheetData>
    <row r="3" spans="1:2" x14ac:dyDescent="0.25">
      <c r="A3" s="27" t="s">
        <v>164</v>
      </c>
      <c r="B3" t="s">
        <v>165</v>
      </c>
    </row>
    <row r="4" spans="1:2" x14ac:dyDescent="0.25">
      <c r="A4" s="9" t="s">
        <v>55</v>
      </c>
      <c r="B4">
        <v>1</v>
      </c>
    </row>
    <row r="5" spans="1:2" x14ac:dyDescent="0.25">
      <c r="A5" s="9" t="s">
        <v>17</v>
      </c>
      <c r="B5">
        <v>29</v>
      </c>
    </row>
    <row r="6" spans="1:2" x14ac:dyDescent="0.25">
      <c r="A6" s="9" t="s">
        <v>109</v>
      </c>
      <c r="B6">
        <v>1</v>
      </c>
    </row>
    <row r="7" spans="1:2" x14ac:dyDescent="0.25">
      <c r="A7" s="9" t="s">
        <v>32</v>
      </c>
      <c r="B7">
        <v>2</v>
      </c>
    </row>
    <row r="8" spans="1:2" x14ac:dyDescent="0.25">
      <c r="A8" s="9" t="s">
        <v>25</v>
      </c>
      <c r="B8">
        <v>2</v>
      </c>
    </row>
    <row r="9" spans="1:2" x14ac:dyDescent="0.25">
      <c r="A9" s="9" t="s">
        <v>166</v>
      </c>
      <c r="B9">
        <v>35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60822D6E90E4B9842C914F28C75AF" ma:contentTypeVersion="22" ma:contentTypeDescription="Create a new document." ma:contentTypeScope="" ma:versionID="c0a26af2f494b51327415fc7c6a55e58">
  <xsd:schema xmlns:xsd="http://www.w3.org/2001/XMLSchema" xmlns:xs="http://www.w3.org/2001/XMLSchema" xmlns:p="http://schemas.microsoft.com/office/2006/metadata/properties" xmlns:ns1="http://schemas.microsoft.com/sharepoint/v3" xmlns:ns2="fbf11286-88bd-49f6-9e65-04081c2d26f1" xmlns:ns3="199c62a4-0f37-4b66-b4f0-d96c1b5a08a3" targetNamespace="http://schemas.microsoft.com/office/2006/metadata/properties" ma:root="true" ma:fieldsID="c4df49a5f4eb8e9ec2d8f32cb1d6e68e" ns1:_="" ns2:_="" ns3:_="">
    <xsd:import namespace="http://schemas.microsoft.com/sharepoint/v3"/>
    <xsd:import namespace="fbf11286-88bd-49f6-9e65-04081c2d26f1"/>
    <xsd:import namespace="199c62a4-0f37-4b66-b4f0-d96c1b5a08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MailGesende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11286-88bd-49f6-9e65-04081c2d26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f2cf889-88a9-489e-9f08-ce9bd41721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ailGesendet" ma:index="29" nillable="true" ma:displayName="MailGesendet" ma:default="0" ma:format="Dropdown" ma:internalName="MailGesendet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c62a4-0f37-4b66-b4f0-d96c1b5a08a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c23f65d-059f-4a9c-af0f-a417b488feae}" ma:internalName="TaxCatchAll" ma:showField="CatchAllData" ma:web="199c62a4-0f37-4b66-b4f0-d96c1b5a08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9c62a4-0f37-4b66-b4f0-d96c1b5a08a3" xsi:nil="true"/>
    <lcf76f155ced4ddcb4097134ff3c332f xmlns="fbf11286-88bd-49f6-9e65-04081c2d26f1">
      <Terms xmlns="http://schemas.microsoft.com/office/infopath/2007/PartnerControls"/>
    </lcf76f155ced4ddcb4097134ff3c332f>
    <_ip_UnifiedCompliancePolicyUIAction xmlns="http://schemas.microsoft.com/sharepoint/v3" xsi:nil="true"/>
    <_Flow_SignoffStatus xmlns="fbf11286-88bd-49f6-9e65-04081c2d26f1" xsi:nil="true"/>
    <_ip_UnifiedCompliancePolicyProperties xmlns="http://schemas.microsoft.com/sharepoint/v3" xsi:nil="true"/>
    <MailGesendet xmlns="fbf11286-88bd-49f6-9e65-04081c2d26f1">false</MailGesendet>
  </documentManagement>
</p:properties>
</file>

<file path=customXml/itemProps1.xml><?xml version="1.0" encoding="utf-8"?>
<ds:datastoreItem xmlns:ds="http://schemas.openxmlformats.org/officeDocument/2006/customXml" ds:itemID="{70737D86-5509-42C9-ADDD-9CE65D9562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7226FE-772A-4D86-B5CC-5C3E9700C756}"/>
</file>

<file path=customXml/itemProps3.xml><?xml version="1.0" encoding="utf-8"?>
<ds:datastoreItem xmlns:ds="http://schemas.openxmlformats.org/officeDocument/2006/customXml" ds:itemID="{47A67AB0-380A-4E6E-AE0B-FF3D6F541CD0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199c62a4-0f37-4b66-b4f0-d96c1b5a08a3"/>
    <ds:schemaRef ds:uri="fbf11286-88bd-49f6-9e65-04081c2d26f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Übersicht Sonderfreigaben</vt:lpstr>
      <vt:lpstr>Status Liste</vt:lpstr>
      <vt:lpstr>Pivot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GWF Qualitätsmanagement</dc:title>
  <dc:subject>Planung</dc:subject>
  <dc:creator>Erich Flühler</dc:creator>
  <cp:keywords/>
  <dc:description/>
  <cp:lastModifiedBy>Stephan Citteur</cp:lastModifiedBy>
  <cp:revision/>
  <dcterms:created xsi:type="dcterms:W3CDTF">2016-09-13T13:09:18Z</dcterms:created>
  <dcterms:modified xsi:type="dcterms:W3CDTF">2023-03-16T14:50:37Z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0x0101003F960822D6E90E4B9842C914F28C75AF</vt:lpwstr>
  </property>
  <property fmtid="{D5CDD505-2E9C-101B-9397-08002B2CF9AE}" pid="3" name="MediaServiceImageTags">
    <vt:lpwstr/>
  </property>
</Properties>
</file>