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gwfag.sharepoint.com/sites/ProductQuality/Shared Documents/10. Quality Notifications/2019/"/>
    </mc:Choice>
  </mc:AlternateContent>
  <xr:revisionPtr revIDLastSave="0" documentId="11_36F79899B2AB1F06E7D972D9182B7578F7EF8A31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18_Übersicht Sonderfreigaben" sheetId="5" r:id="rId1"/>
    <sheet name="Status Liste" sheetId="6" r:id="rId2"/>
  </sheets>
  <definedNames>
    <definedName name="_xlnm._FilterDatabase" localSheetId="0" hidden="1">'2018_Übersicht Sonderfreigaben'!$A$3:$DJ$83</definedName>
    <definedName name="Ersteller" localSheetId="0">#REF!</definedName>
    <definedName name="Ersteller">#REF!</definedName>
    <definedName name="Liste_Audit_Thema" localSheetId="0">#REF!</definedName>
    <definedName name="Liste_Audit_Thema">#REF!</definedName>
    <definedName name="Liste_Prüfentscheid" localSheetId="0">#REF!</definedName>
    <definedName name="Liste_Prüfentscheid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4" i="5"/>
  <c r="O2" i="5" l="1"/>
</calcChain>
</file>

<file path=xl/sharedStrings.xml><?xml version="1.0" encoding="utf-8"?>
<sst xmlns="http://schemas.openxmlformats.org/spreadsheetml/2006/main" count="351" uniqueCount="172">
  <si>
    <t>Status</t>
  </si>
  <si>
    <t xml:space="preserve">Verantwortung
</t>
  </si>
  <si>
    <t>Tracking</t>
  </si>
  <si>
    <t>SFR-Nr.</t>
  </si>
  <si>
    <t>Lieferanten-Nr</t>
  </si>
  <si>
    <t>Lieferant</t>
  </si>
  <si>
    <t>Artikelnummer</t>
  </si>
  <si>
    <t>Artikelbezeichnung</t>
  </si>
  <si>
    <t>Massnahmen</t>
  </si>
  <si>
    <t>Escatec Malaysia</t>
  </si>
  <si>
    <t>Begründung</t>
  </si>
  <si>
    <t>Freigabe bis/ Menge</t>
  </si>
  <si>
    <t>offen</t>
  </si>
  <si>
    <t>freigegeben</t>
  </si>
  <si>
    <t>abgeschlossen</t>
  </si>
  <si>
    <t>Doku</t>
  </si>
  <si>
    <t>PSW (Serie/Projekt)</t>
  </si>
  <si>
    <t>Serie</t>
  </si>
  <si>
    <t>SFR19-01</t>
  </si>
  <si>
    <t>Schürholz</t>
  </si>
  <si>
    <t>SFR19-02</t>
  </si>
  <si>
    <t>SFR19-03</t>
  </si>
  <si>
    <t>SFR19-04</t>
  </si>
  <si>
    <t>SFR19-05</t>
  </si>
  <si>
    <t>SFR19-06</t>
  </si>
  <si>
    <t>SFR19-07</t>
  </si>
  <si>
    <t>SFR19-08</t>
  </si>
  <si>
    <t>SFR19-09</t>
  </si>
  <si>
    <t>SFR19-10</t>
  </si>
  <si>
    <t>SFR19-11</t>
  </si>
  <si>
    <t>SFR19-12</t>
  </si>
  <si>
    <t>SFR19-13</t>
  </si>
  <si>
    <t>QN19-013</t>
  </si>
  <si>
    <t>QN19-014</t>
  </si>
  <si>
    <t>QN19-015</t>
  </si>
  <si>
    <t>QN19-017</t>
  </si>
  <si>
    <t>QN19-016</t>
  </si>
  <si>
    <t>QN19-018</t>
  </si>
  <si>
    <t>QN19-019</t>
  </si>
  <si>
    <t>QN19-020</t>
  </si>
  <si>
    <t>QN19-021</t>
  </si>
  <si>
    <t>QN19-022</t>
  </si>
  <si>
    <t>QN19-023</t>
  </si>
  <si>
    <t>QN19-024</t>
  </si>
  <si>
    <t>QN19-025</t>
  </si>
  <si>
    <t>QN19-026</t>
  </si>
  <si>
    <t>QN19-027</t>
  </si>
  <si>
    <t>QN19-028</t>
  </si>
  <si>
    <t>QN19-029</t>
  </si>
  <si>
    <t>QN19-030</t>
  </si>
  <si>
    <t>QN19-031</t>
  </si>
  <si>
    <t>QN19-032</t>
  </si>
  <si>
    <t>QN19-033</t>
  </si>
  <si>
    <t>Sensus</t>
  </si>
  <si>
    <t>Brändi</t>
  </si>
  <si>
    <t>Gnutti</t>
  </si>
  <si>
    <t>Schramberg</t>
  </si>
  <si>
    <t>GWF</t>
  </si>
  <si>
    <t>WisionTool</t>
  </si>
  <si>
    <t>QN19-034</t>
  </si>
  <si>
    <t>QN19-035</t>
  </si>
  <si>
    <t>QN19-036</t>
  </si>
  <si>
    <t>QN19-037</t>
  </si>
  <si>
    <t>QN19-038</t>
  </si>
  <si>
    <t>QN19-039</t>
  </si>
  <si>
    <t>QN19-040</t>
  </si>
  <si>
    <t>QN19-041</t>
  </si>
  <si>
    <t>QN19-042</t>
  </si>
  <si>
    <t>QN19-043</t>
  </si>
  <si>
    <t>QN19-044</t>
  </si>
  <si>
    <t>QN19-045</t>
  </si>
  <si>
    <t>QN19-046</t>
  </si>
  <si>
    <t>QN19-047</t>
  </si>
  <si>
    <t>QN19-048</t>
  </si>
  <si>
    <t>QN19-049</t>
  </si>
  <si>
    <t>QN19-050</t>
  </si>
  <si>
    <t>Allmess</t>
  </si>
  <si>
    <t>Honeywell</t>
  </si>
  <si>
    <t>QN19-051</t>
  </si>
  <si>
    <t>QN19-052</t>
  </si>
  <si>
    <t>QN19-053</t>
  </si>
  <si>
    <t>QN19-054</t>
  </si>
  <si>
    <t>QN19-055</t>
  </si>
  <si>
    <t>QN19-056</t>
  </si>
  <si>
    <t>QN19-057</t>
  </si>
  <si>
    <t>Nimoulda</t>
  </si>
  <si>
    <t>Janz</t>
  </si>
  <si>
    <t>Wision Tool</t>
  </si>
  <si>
    <t>SCI</t>
  </si>
  <si>
    <t>GWF Sonderfreigaben Tracking 2019</t>
  </si>
  <si>
    <t>53.000010</t>
  </si>
  <si>
    <t>47.000020</t>
  </si>
  <si>
    <t>53.000020</t>
  </si>
  <si>
    <t>44.000110</t>
  </si>
  <si>
    <t>25.000497</t>
  </si>
  <si>
    <t>44.000020</t>
  </si>
  <si>
    <t>53.000001</t>
  </si>
  <si>
    <t>53.000012</t>
  </si>
  <si>
    <t>44.000302</t>
  </si>
  <si>
    <t>44.000012</t>
  </si>
  <si>
    <t>44.000112</t>
  </si>
  <si>
    <t>47.000028</t>
  </si>
  <si>
    <t>47.000021</t>
  </si>
  <si>
    <t>53.000052</t>
  </si>
  <si>
    <t>302.ZK001</t>
  </si>
  <si>
    <t>300.ZT001</t>
  </si>
  <si>
    <t>300.ZT002</t>
  </si>
  <si>
    <t>46.000045</t>
  </si>
  <si>
    <t>54.000022</t>
  </si>
  <si>
    <t>12.270040</t>
  </si>
  <si>
    <t>Upper Bearing</t>
  </si>
  <si>
    <t>Impeller</t>
  </si>
  <si>
    <t>12.160012</t>
  </si>
  <si>
    <t>Lydia LSW</t>
  </si>
  <si>
    <t>Lydia Lower Frame</t>
  </si>
  <si>
    <t>Lydia GW</t>
  </si>
  <si>
    <t>n/a</t>
  </si>
  <si>
    <t>Resus V8 Lower Frame</t>
  </si>
  <si>
    <t>Projekt</t>
  </si>
  <si>
    <t>46.10006</t>
  </si>
  <si>
    <t>AE5 Light Shield</t>
  </si>
  <si>
    <t>HRE MSW</t>
  </si>
  <si>
    <t>Resus V8 general Light Shield</t>
  </si>
  <si>
    <t>HRE LSW</t>
  </si>
  <si>
    <t>Reus V8 GW</t>
  </si>
  <si>
    <t>AE Light Shield</t>
  </si>
  <si>
    <t>Lydia Light Shield</t>
  </si>
  <si>
    <t>Lydia gear D</t>
  </si>
  <si>
    <t>HRE-CH Lower Frame</t>
  </si>
  <si>
    <t>HRE Shift Gear</t>
  </si>
  <si>
    <t>Reus V8 Light Shield</t>
  </si>
  <si>
    <t>Lydia Bevel Gear Horz.</t>
  </si>
  <si>
    <t>Resus V8 Stack Cover</t>
  </si>
  <si>
    <t>GWF Register Wheel</t>
  </si>
  <si>
    <t>GWF Gear 22</t>
  </si>
  <si>
    <t>Dimensions out of spec</t>
  </si>
  <si>
    <t>Tool recitifcation</t>
  </si>
  <si>
    <t>Dimensions out of spec cavity 3 &amp; 4</t>
  </si>
  <si>
    <t>Sorting cavity 3 &amp; 4</t>
  </si>
  <si>
    <t>Flashes at cavity 4</t>
  </si>
  <si>
    <t>Sorting cavity 4</t>
  </si>
  <si>
    <t>810.000</t>
  </si>
  <si>
    <t>22.03.2019</t>
  </si>
  <si>
    <t>Lydia PCBA</t>
  </si>
  <si>
    <t>Laser marking PCBA</t>
  </si>
  <si>
    <t>Laser marking PBCA</t>
  </si>
  <si>
    <t>Flatness out of spec</t>
  </si>
  <si>
    <t>Sorting cavity 3</t>
  </si>
  <si>
    <t>400.000</t>
  </si>
  <si>
    <t>Flashes at cavity 3 &amp; 4</t>
  </si>
  <si>
    <t>18.05.2019</t>
  </si>
  <si>
    <t>Pin crack at cavity 3 % 4</t>
  </si>
  <si>
    <t>Excess material at cavity 7 due to chip-off</t>
  </si>
  <si>
    <t>Excess material at cavity 4 due to chip-off</t>
  </si>
  <si>
    <t>Sorting cavity 7</t>
  </si>
  <si>
    <t>27.04.2019</t>
  </si>
  <si>
    <t>Dimension 47 out of spec</t>
  </si>
  <si>
    <t>Dimension 13 out of CPK</t>
  </si>
  <si>
    <t>Dimesion 1 out of spec</t>
  </si>
  <si>
    <t>Use as is</t>
  </si>
  <si>
    <t>112.000</t>
  </si>
  <si>
    <t>Diemsion 47 out of spec on cavity 7</t>
  </si>
  <si>
    <t>01.08.2019</t>
  </si>
  <si>
    <t>Dimension 4 out of spec at cavity 1 &amp; 2</t>
  </si>
  <si>
    <t>Sorting cavity 1 &amp; 2</t>
  </si>
  <si>
    <t>13.07.2019</t>
  </si>
  <si>
    <t>QN19-058</t>
  </si>
  <si>
    <t>29.002010</t>
  </si>
  <si>
    <t>Impeller Unico2</t>
  </si>
  <si>
    <t>Nimolda</t>
  </si>
  <si>
    <t>Altes Werkzeug mit Masse ausser Toleranz</t>
  </si>
  <si>
    <t>Sicherheitlager spritzen und Werkzeugkorrektur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</si>
</sst>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wrapText="1"/>
    </xf>
    <xf numFmtId="9" fontId="0" fillId="0" borderId="0" xfId="1" applyFont="1"/>
    <xf numFmtId="0" fontId="4" fillId="2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right" vertical="center"/>
    </xf>
    <xf numFmtId="14" fontId="7" fillId="4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9" fontId="8" fillId="0" borderId="4" xfId="1" applyFont="1" applyBorder="1" applyAlignment="1">
      <alignment horizontal="left" vertical="top"/>
    </xf>
    <xf numFmtId="9" fontId="8" fillId="0" borderId="5" xfId="1" applyFont="1" applyBorder="1" applyAlignment="1">
      <alignment horizontal="left" vertical="top"/>
    </xf>
    <xf numFmtId="164" fontId="8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8" fillId="0" borderId="0" xfId="0" applyNumberFormat="1" applyFont="1" applyAlignment="1">
      <alignment horizontal="left" vertical="top" wrapText="1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/>
    </xf>
    <xf numFmtId="9" fontId="8" fillId="2" borderId="0" xfId="1" applyFont="1" applyFill="1"/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9" fontId="1" fillId="2" borderId="0" xfId="1" applyFont="1" applyFill="1"/>
    <xf numFmtId="9" fontId="1" fillId="2" borderId="0" xfId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9" fontId="0" fillId="2" borderId="0" xfId="1" applyFont="1" applyFill="1" applyAlignment="1">
      <alignment horizontal="left"/>
    </xf>
    <xf numFmtId="49" fontId="8" fillId="0" borderId="0" xfId="5" applyNumberFormat="1" applyFont="1" applyBorder="1" applyAlignment="1">
      <alignment horizontal="left" vertical="top" wrapText="1"/>
    </xf>
    <xf numFmtId="49" fontId="8" fillId="2" borderId="0" xfId="0" applyNumberFormat="1" applyFont="1" applyFill="1" applyAlignment="1">
      <alignment horizontal="left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</cellXfs>
  <cellStyles count="6">
    <cellStyle name="Komma" xfId="5" builtinId="3"/>
    <cellStyle name="Prozent" xfId="1" builtinId="5"/>
    <cellStyle name="Prozent 2" xfId="3" xr:uid="{00000000-0005-0000-0000-000002000000}"/>
    <cellStyle name="Standard" xfId="0" builtinId="0"/>
    <cellStyle name="Standard 2" xfId="2" xr:uid="{00000000-0005-0000-0000-000004000000}"/>
    <cellStyle name="Standard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85"/>
  <sheetViews>
    <sheetView tabSelected="1" zoomScaleNormal="10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C4" sqref="C4:O62"/>
    </sheetView>
  </sheetViews>
  <sheetFormatPr baseColWidth="10" defaultColWidth="11.42578125" defaultRowHeight="15" x14ac:dyDescent="0.25"/>
  <cols>
    <col min="1" max="1" width="1.28515625" style="2" customWidth="1"/>
    <col min="2" max="2" width="3.42578125" style="8" customWidth="1"/>
    <col min="3" max="3" width="9.42578125" style="8" customWidth="1"/>
    <col min="4" max="4" width="13.7109375" style="8" customWidth="1"/>
    <col min="5" max="5" width="22.28515625" style="8" bestFit="1" customWidth="1"/>
    <col min="6" max="6" width="28.140625" style="8" customWidth="1"/>
    <col min="7" max="7" width="14.42578125" style="4" bestFit="1" customWidth="1"/>
    <col min="8" max="8" width="16.7109375" style="9" bestFit="1" customWidth="1"/>
    <col min="9" max="9" width="38.5703125" style="9" bestFit="1" customWidth="1"/>
    <col min="10" max="10" width="43" style="9" customWidth="1"/>
    <col min="11" max="11" width="14.5703125" style="9" bestFit="1" customWidth="1"/>
    <col min="12" max="12" width="22.28515625" customWidth="1"/>
    <col min="13" max="13" width="15.7109375" customWidth="1"/>
    <col min="14" max="14" width="9.140625" style="5" hidden="1" customWidth="1"/>
    <col min="15" max="15" width="15.42578125" style="5" customWidth="1"/>
    <col min="16" max="16" width="0.85546875" style="2" customWidth="1"/>
    <col min="17" max="17" width="12.85546875" style="2" bestFit="1" customWidth="1"/>
    <col min="18" max="18" width="3.42578125" style="2" hidden="1" customWidth="1"/>
    <col min="19" max="19" width="12.7109375" style="2" customWidth="1"/>
    <col min="20" max="75" width="11.42578125" style="2"/>
  </cols>
  <sheetData>
    <row r="1" spans="2:114" s="2" customFormat="1" ht="15.75" thickBot="1" x14ac:dyDescent="0.3">
      <c r="B1" s="6"/>
      <c r="C1" s="6"/>
      <c r="D1" s="6"/>
      <c r="E1" s="6"/>
      <c r="F1" s="6"/>
      <c r="G1" s="1"/>
      <c r="H1" s="7"/>
      <c r="I1" s="7"/>
      <c r="J1" s="7"/>
      <c r="K1" s="7"/>
      <c r="N1" s="3"/>
      <c r="O1" s="3"/>
    </row>
    <row r="2" spans="2:114" ht="61.15" customHeight="1" thickBot="1" x14ac:dyDescent="0.3">
      <c r="B2" s="40" t="s">
        <v>89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10"/>
      <c r="N2" s="11"/>
      <c r="O2" s="12">
        <f ca="1">TODAY()</f>
        <v>45001</v>
      </c>
    </row>
    <row r="3" spans="2:114" s="2" customFormat="1" ht="38.450000000000003" customHeight="1" x14ac:dyDescent="0.25">
      <c r="B3" s="13"/>
      <c r="C3" s="14" t="s">
        <v>3</v>
      </c>
      <c r="D3" s="14" t="s">
        <v>16</v>
      </c>
      <c r="E3" s="15" t="s">
        <v>6</v>
      </c>
      <c r="F3" s="15" t="s">
        <v>7</v>
      </c>
      <c r="G3" s="15" t="s">
        <v>4</v>
      </c>
      <c r="H3" s="15" t="s">
        <v>5</v>
      </c>
      <c r="I3" s="15" t="s">
        <v>10</v>
      </c>
      <c r="J3" s="15" t="s">
        <v>8</v>
      </c>
      <c r="K3" s="15" t="s">
        <v>11</v>
      </c>
      <c r="L3" s="16" t="s">
        <v>1</v>
      </c>
      <c r="M3" s="16" t="s">
        <v>15</v>
      </c>
      <c r="N3" s="17" t="s">
        <v>0</v>
      </c>
      <c r="O3" s="18" t="s">
        <v>2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2:114" s="2" customFormat="1" ht="15.75" customHeight="1" x14ac:dyDescent="0.25">
      <c r="B4" s="19" t="str">
        <f>IF(O4="","",IF(O4="offen",0,IF(O4="freigegeben",1.5,2)))</f>
        <v/>
      </c>
      <c r="C4" s="20" t="s">
        <v>18</v>
      </c>
      <c r="D4" s="20" t="s">
        <v>17</v>
      </c>
      <c r="E4" s="25" t="s">
        <v>90</v>
      </c>
      <c r="F4" s="21" t="s">
        <v>113</v>
      </c>
      <c r="G4" s="21">
        <v>1322250</v>
      </c>
      <c r="H4" s="21" t="s">
        <v>9</v>
      </c>
      <c r="I4" s="26" t="s">
        <v>135</v>
      </c>
      <c r="J4" s="21" t="s">
        <v>136</v>
      </c>
      <c r="K4" s="25" t="s">
        <v>141</v>
      </c>
      <c r="L4" s="21" t="s">
        <v>88</v>
      </c>
      <c r="M4" s="21"/>
      <c r="N4" s="23"/>
      <c r="O4" s="23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2:114" s="2" customFormat="1" ht="15.75" customHeight="1" x14ac:dyDescent="0.25">
      <c r="B5" s="19" t="str">
        <f t="shared" ref="B5:B7" si="0">IF(O5="","",IF(O5="offen",0,IF(O5="freigegeben",1.5,2)))</f>
        <v/>
      </c>
      <c r="C5" s="20" t="s">
        <v>20</v>
      </c>
      <c r="D5" s="20" t="s">
        <v>17</v>
      </c>
      <c r="E5" s="25">
        <v>29.000330999999999</v>
      </c>
      <c r="F5" s="21"/>
      <c r="G5" s="21"/>
      <c r="H5" s="21" t="s">
        <v>19</v>
      </c>
      <c r="I5" s="26"/>
      <c r="J5" s="21"/>
      <c r="K5" s="25"/>
      <c r="L5" s="21"/>
      <c r="M5" s="21"/>
      <c r="N5" s="23"/>
      <c r="O5" s="23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 spans="2:114" s="2" customFormat="1" ht="15.75" customHeight="1" x14ac:dyDescent="0.25">
      <c r="B6" s="19" t="str">
        <f t="shared" si="0"/>
        <v/>
      </c>
      <c r="C6" s="20" t="s">
        <v>21</v>
      </c>
      <c r="D6" s="20" t="s">
        <v>17</v>
      </c>
      <c r="E6" s="25" t="s">
        <v>119</v>
      </c>
      <c r="F6" s="21" t="s">
        <v>120</v>
      </c>
      <c r="G6" s="21">
        <v>1322250</v>
      </c>
      <c r="H6" s="21" t="s">
        <v>9</v>
      </c>
      <c r="I6" s="26" t="s">
        <v>137</v>
      </c>
      <c r="J6" s="21" t="s">
        <v>138</v>
      </c>
      <c r="K6" s="25" t="s">
        <v>142</v>
      </c>
      <c r="L6" s="21" t="s">
        <v>88</v>
      </c>
      <c r="M6" s="21"/>
      <c r="N6" s="23"/>
      <c r="O6" s="23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 spans="2:114" s="2" customFormat="1" ht="15.75" customHeight="1" x14ac:dyDescent="0.25">
      <c r="B7" s="19" t="str">
        <f t="shared" si="0"/>
        <v/>
      </c>
      <c r="C7" s="20" t="s">
        <v>22</v>
      </c>
      <c r="D7" s="20" t="s">
        <v>17</v>
      </c>
      <c r="E7" s="25" t="s">
        <v>91</v>
      </c>
      <c r="F7" s="21" t="s">
        <v>117</v>
      </c>
      <c r="G7" s="21">
        <v>1322250</v>
      </c>
      <c r="H7" s="21" t="s">
        <v>9</v>
      </c>
      <c r="I7" s="21" t="s">
        <v>139</v>
      </c>
      <c r="J7" s="21" t="s">
        <v>140</v>
      </c>
      <c r="K7" s="25" t="s">
        <v>142</v>
      </c>
      <c r="L7" s="21" t="s">
        <v>88</v>
      </c>
      <c r="M7" s="21"/>
      <c r="N7" s="23"/>
      <c r="O7" s="23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 spans="2:114" s="2" customFormat="1" ht="15.75" customHeight="1" x14ac:dyDescent="0.25">
      <c r="B8" s="19"/>
      <c r="C8" s="20" t="s">
        <v>23</v>
      </c>
      <c r="D8" s="20" t="s">
        <v>17</v>
      </c>
      <c r="E8" s="25" t="s">
        <v>96</v>
      </c>
      <c r="F8" s="21" t="s">
        <v>143</v>
      </c>
      <c r="G8" s="21">
        <v>1322250</v>
      </c>
      <c r="H8" s="21" t="s">
        <v>9</v>
      </c>
      <c r="I8" s="21" t="s">
        <v>144</v>
      </c>
      <c r="J8" s="21" t="s">
        <v>145</v>
      </c>
      <c r="K8" s="25"/>
      <c r="L8" s="21"/>
      <c r="M8" s="21"/>
      <c r="N8" s="23"/>
      <c r="O8" s="23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 spans="2:114" s="2" customFormat="1" ht="15.75" customHeight="1" x14ac:dyDescent="0.25">
      <c r="B9" s="19"/>
      <c r="C9" s="20" t="s">
        <v>24</v>
      </c>
      <c r="D9" s="20" t="s">
        <v>17</v>
      </c>
      <c r="E9" s="25">
        <v>53.000000999999997</v>
      </c>
      <c r="F9" s="21" t="s">
        <v>114</v>
      </c>
      <c r="G9" s="21">
        <v>1322250</v>
      </c>
      <c r="H9" s="21" t="s">
        <v>9</v>
      </c>
      <c r="I9" s="21" t="s">
        <v>146</v>
      </c>
      <c r="J9" s="21" t="s">
        <v>147</v>
      </c>
      <c r="K9" s="25" t="s">
        <v>148</v>
      </c>
      <c r="L9" s="21" t="s">
        <v>88</v>
      </c>
      <c r="M9" s="21"/>
      <c r="N9" s="23"/>
      <c r="O9" s="23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 spans="2:114" s="2" customFormat="1" ht="15.75" customHeight="1" x14ac:dyDescent="0.25">
      <c r="B10" s="19"/>
      <c r="C10" s="20" t="s">
        <v>25</v>
      </c>
      <c r="D10" s="20" t="s">
        <v>17</v>
      </c>
      <c r="E10" s="25">
        <v>44.000112000000001</v>
      </c>
      <c r="F10" s="21" t="s">
        <v>121</v>
      </c>
      <c r="G10" s="21">
        <v>1322250</v>
      </c>
      <c r="H10" s="21" t="s">
        <v>9</v>
      </c>
      <c r="I10" s="21" t="s">
        <v>149</v>
      </c>
      <c r="J10" s="21" t="s">
        <v>138</v>
      </c>
      <c r="K10" s="25" t="s">
        <v>150</v>
      </c>
      <c r="L10" s="21" t="s">
        <v>88</v>
      </c>
      <c r="M10" s="21"/>
      <c r="N10" s="23"/>
      <c r="O10" s="23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 spans="2:114" s="2" customFormat="1" ht="15.75" customHeight="1" x14ac:dyDescent="0.25">
      <c r="B11" s="19"/>
      <c r="C11" s="20" t="s">
        <v>26</v>
      </c>
      <c r="D11" s="20" t="s">
        <v>17</v>
      </c>
      <c r="E11" s="25" t="s">
        <v>91</v>
      </c>
      <c r="F11" s="21" t="s">
        <v>117</v>
      </c>
      <c r="G11" s="21">
        <v>1322250</v>
      </c>
      <c r="H11" s="21" t="s">
        <v>9</v>
      </c>
      <c r="I11" s="21" t="s">
        <v>153</v>
      </c>
      <c r="J11" s="21" t="s">
        <v>140</v>
      </c>
      <c r="K11" s="25" t="s">
        <v>150</v>
      </c>
      <c r="L11" s="21" t="s">
        <v>88</v>
      </c>
      <c r="M11" s="21"/>
      <c r="N11" s="23"/>
      <c r="O11" s="23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 spans="2:114" s="2" customFormat="1" ht="15.75" customHeight="1" x14ac:dyDescent="0.25">
      <c r="B12" s="19"/>
      <c r="C12" s="20" t="s">
        <v>27</v>
      </c>
      <c r="D12" s="20" t="s">
        <v>17</v>
      </c>
      <c r="E12" s="25"/>
      <c r="F12" s="21"/>
      <c r="G12" s="21"/>
      <c r="H12" s="21" t="s">
        <v>53</v>
      </c>
      <c r="I12" s="21"/>
      <c r="J12" s="21"/>
      <c r="K12" s="25"/>
      <c r="L12" s="21"/>
      <c r="M12" s="21"/>
      <c r="N12" s="23"/>
      <c r="O12" s="23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 spans="2:114" s="2" customFormat="1" ht="15.75" customHeight="1" x14ac:dyDescent="0.25">
      <c r="B13" s="19"/>
      <c r="C13" s="20" t="s">
        <v>28</v>
      </c>
      <c r="D13" s="20" t="s">
        <v>17</v>
      </c>
      <c r="E13" s="25"/>
      <c r="F13" s="21"/>
      <c r="G13" s="21"/>
      <c r="H13" s="21" t="s">
        <v>53</v>
      </c>
      <c r="I13" s="21"/>
      <c r="J13" s="21"/>
      <c r="K13" s="25"/>
      <c r="L13" s="21"/>
      <c r="M13" s="21"/>
      <c r="N13" s="23"/>
      <c r="O13" s="2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 spans="2:114" s="2" customFormat="1" ht="15.75" customHeight="1" x14ac:dyDescent="0.25">
      <c r="B14" s="19"/>
      <c r="C14" s="20" t="s">
        <v>29</v>
      </c>
      <c r="D14" s="20" t="s">
        <v>17</v>
      </c>
      <c r="E14" s="25" t="s">
        <v>92</v>
      </c>
      <c r="F14" s="21" t="s">
        <v>131</v>
      </c>
      <c r="G14" s="21">
        <v>1322250</v>
      </c>
      <c r="H14" s="21" t="s">
        <v>9</v>
      </c>
      <c r="I14" s="21" t="s">
        <v>151</v>
      </c>
      <c r="J14" s="21" t="s">
        <v>138</v>
      </c>
      <c r="K14" s="25"/>
      <c r="L14" s="21" t="s">
        <v>88</v>
      </c>
      <c r="M14" s="21"/>
      <c r="N14" s="23"/>
      <c r="O14" s="23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 spans="2:114" s="2" customFormat="1" ht="15.75" customHeight="1" x14ac:dyDescent="0.25">
      <c r="B15" s="19"/>
      <c r="C15" s="20" t="s">
        <v>30</v>
      </c>
      <c r="D15" s="20" t="s">
        <v>17</v>
      </c>
      <c r="E15" s="25">
        <v>47.000028</v>
      </c>
      <c r="F15" s="21" t="s">
        <v>122</v>
      </c>
      <c r="G15" s="21">
        <v>1322250</v>
      </c>
      <c r="H15" s="21" t="s">
        <v>9</v>
      </c>
      <c r="I15" s="21" t="s">
        <v>152</v>
      </c>
      <c r="J15" s="21" t="s">
        <v>154</v>
      </c>
      <c r="K15" s="25" t="s">
        <v>155</v>
      </c>
      <c r="L15" s="21" t="s">
        <v>88</v>
      </c>
      <c r="M15" s="21"/>
      <c r="N15" s="23"/>
      <c r="O15" s="23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2:114" s="2" customFormat="1" ht="15.75" customHeight="1" x14ac:dyDescent="0.25">
      <c r="B16" s="19"/>
      <c r="C16" s="20" t="s">
        <v>31</v>
      </c>
      <c r="D16" s="20" t="s">
        <v>17</v>
      </c>
      <c r="E16" s="25"/>
      <c r="F16" s="21"/>
      <c r="G16" s="21"/>
      <c r="H16" s="21" t="s">
        <v>54</v>
      </c>
      <c r="I16" s="21"/>
      <c r="J16" s="21"/>
      <c r="K16" s="25"/>
      <c r="L16" s="21"/>
      <c r="M16" s="21"/>
      <c r="N16" s="23"/>
      <c r="O16" s="23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 spans="2:114" s="2" customFormat="1" ht="15.75" customHeight="1" x14ac:dyDescent="0.25">
      <c r="B17" s="19"/>
      <c r="C17" s="20" t="s">
        <v>32</v>
      </c>
      <c r="D17" s="20" t="s">
        <v>17</v>
      </c>
      <c r="E17" s="25" t="s">
        <v>93</v>
      </c>
      <c r="F17" s="21" t="s">
        <v>123</v>
      </c>
      <c r="G17" s="21">
        <v>1322250</v>
      </c>
      <c r="H17" s="21" t="s">
        <v>9</v>
      </c>
      <c r="I17" s="21" t="s">
        <v>156</v>
      </c>
      <c r="J17" s="21" t="s">
        <v>136</v>
      </c>
      <c r="K17" s="25" t="s">
        <v>116</v>
      </c>
      <c r="L17" s="21" t="s">
        <v>88</v>
      </c>
      <c r="M17" s="21"/>
      <c r="N17" s="23"/>
      <c r="O17" s="23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2:114" s="2" customFormat="1" ht="15.75" customHeight="1" x14ac:dyDescent="0.25">
      <c r="B18" s="19"/>
      <c r="C18" s="20" t="s">
        <v>33</v>
      </c>
      <c r="D18" s="20" t="s">
        <v>17</v>
      </c>
      <c r="E18" s="25">
        <v>47.000110999999997</v>
      </c>
      <c r="F18" s="21" t="s">
        <v>124</v>
      </c>
      <c r="G18" s="21">
        <v>1322250</v>
      </c>
      <c r="H18" s="21" t="s">
        <v>9</v>
      </c>
      <c r="I18" s="21" t="s">
        <v>157</v>
      </c>
      <c r="J18" s="21" t="s">
        <v>136</v>
      </c>
      <c r="K18" s="25" t="s">
        <v>116</v>
      </c>
      <c r="L18" s="21" t="s">
        <v>88</v>
      </c>
      <c r="M18" s="21"/>
      <c r="N18" s="23"/>
      <c r="O18" s="23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2:114" s="2" customFormat="1" ht="15.75" customHeight="1" x14ac:dyDescent="0.25">
      <c r="B19" s="19"/>
      <c r="C19" s="20" t="s">
        <v>34</v>
      </c>
      <c r="D19" s="20" t="s">
        <v>17</v>
      </c>
      <c r="E19" s="25">
        <v>29.011690000000002</v>
      </c>
      <c r="F19" s="21"/>
      <c r="G19" s="21"/>
      <c r="H19" s="21" t="s">
        <v>55</v>
      </c>
      <c r="I19" s="21"/>
      <c r="J19" s="21"/>
      <c r="K19" s="25"/>
      <c r="L19" s="21" t="s">
        <v>88</v>
      </c>
      <c r="M19" s="21"/>
      <c r="N19" s="23"/>
      <c r="O19" s="23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2:114" s="2" customFormat="1" ht="15.75" customHeight="1" x14ac:dyDescent="0.25">
      <c r="B20" s="19"/>
      <c r="C20" s="20" t="s">
        <v>36</v>
      </c>
      <c r="D20" s="20" t="s">
        <v>17</v>
      </c>
      <c r="E20" s="25" t="s">
        <v>90</v>
      </c>
      <c r="F20" s="21" t="s">
        <v>113</v>
      </c>
      <c r="G20" s="21">
        <v>1322250</v>
      </c>
      <c r="H20" s="21" t="s">
        <v>9</v>
      </c>
      <c r="I20" s="21" t="s">
        <v>158</v>
      </c>
      <c r="J20" s="21" t="s">
        <v>159</v>
      </c>
      <c r="K20" s="25" t="s">
        <v>160</v>
      </c>
      <c r="L20" s="21" t="s">
        <v>88</v>
      </c>
      <c r="M20" s="21"/>
      <c r="N20" s="23"/>
      <c r="O20" s="23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2:114" s="2" customFormat="1" ht="15.75" customHeight="1" x14ac:dyDescent="0.25">
      <c r="B21" s="19"/>
      <c r="C21" s="20" t="s">
        <v>35</v>
      </c>
      <c r="D21" s="20" t="s">
        <v>17</v>
      </c>
      <c r="E21" s="25" t="s">
        <v>93</v>
      </c>
      <c r="F21" s="21" t="s">
        <v>123</v>
      </c>
      <c r="G21" s="21">
        <v>1322250</v>
      </c>
      <c r="H21" s="21" t="s">
        <v>9</v>
      </c>
      <c r="I21" s="21" t="s">
        <v>161</v>
      </c>
      <c r="J21" s="21" t="s">
        <v>154</v>
      </c>
      <c r="K21" s="25" t="s">
        <v>162</v>
      </c>
      <c r="L21" s="21" t="s">
        <v>88</v>
      </c>
      <c r="M21" s="21"/>
      <c r="N21" s="23"/>
      <c r="O21" s="23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2:114" s="2" customFormat="1" ht="15.75" customHeight="1" x14ac:dyDescent="0.25">
      <c r="B22" s="19"/>
      <c r="C22" s="20" t="s">
        <v>37</v>
      </c>
      <c r="D22" s="20" t="s">
        <v>17</v>
      </c>
      <c r="E22" s="25" t="s">
        <v>94</v>
      </c>
      <c r="F22" s="21"/>
      <c r="G22" s="21"/>
      <c r="H22" s="21" t="s">
        <v>56</v>
      </c>
      <c r="I22" s="21"/>
      <c r="J22" s="21"/>
      <c r="K22" s="25"/>
      <c r="L22" s="21" t="s">
        <v>88</v>
      </c>
      <c r="M22" s="21"/>
      <c r="N22" s="23"/>
      <c r="O22" s="23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2:114" s="2" customFormat="1" ht="15.75" customHeight="1" x14ac:dyDescent="0.25">
      <c r="B23" s="19"/>
      <c r="C23" s="20" t="s">
        <v>38</v>
      </c>
      <c r="D23" s="20" t="s">
        <v>17</v>
      </c>
      <c r="E23" s="25" t="s">
        <v>119</v>
      </c>
      <c r="F23" s="21" t="s">
        <v>125</v>
      </c>
      <c r="G23" s="21">
        <v>1322250</v>
      </c>
      <c r="H23" s="21" t="s">
        <v>9</v>
      </c>
      <c r="I23" s="21" t="s">
        <v>163</v>
      </c>
      <c r="J23" s="21" t="s">
        <v>164</v>
      </c>
      <c r="K23" s="25" t="s">
        <v>165</v>
      </c>
      <c r="L23" s="21" t="s">
        <v>88</v>
      </c>
      <c r="M23" s="21"/>
      <c r="N23" s="23"/>
      <c r="O23" s="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2:114" s="2" customFormat="1" ht="15.75" customHeight="1" x14ac:dyDescent="0.25">
      <c r="B24" s="19"/>
      <c r="C24" s="20" t="s">
        <v>39</v>
      </c>
      <c r="D24" s="20" t="s">
        <v>17</v>
      </c>
      <c r="E24" s="25">
        <v>12.08013</v>
      </c>
      <c r="F24" s="21"/>
      <c r="G24" s="21" t="s">
        <v>116</v>
      </c>
      <c r="H24" s="21" t="s">
        <v>57</v>
      </c>
      <c r="I24" s="21"/>
      <c r="J24" s="21"/>
      <c r="K24" s="25"/>
      <c r="L24" s="21"/>
      <c r="M24" s="21"/>
      <c r="N24" s="23"/>
      <c r="O24" s="23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2:114" s="2" customFormat="1" ht="15.75" customHeight="1" x14ac:dyDescent="0.25">
      <c r="B25" s="19"/>
      <c r="C25" s="20" t="s">
        <v>40</v>
      </c>
      <c r="D25" s="20" t="s">
        <v>17</v>
      </c>
      <c r="E25" s="25">
        <v>12.12017</v>
      </c>
      <c r="F25" s="24"/>
      <c r="G25" s="21" t="s">
        <v>116</v>
      </c>
      <c r="H25" s="21" t="s">
        <v>57</v>
      </c>
      <c r="I25" s="21"/>
      <c r="J25" s="21"/>
      <c r="K25" s="25"/>
      <c r="L25" s="21"/>
      <c r="M25" s="21"/>
      <c r="N25" s="23"/>
      <c r="O25" s="23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 spans="2:114" s="2" customFormat="1" ht="15.75" customHeight="1" x14ac:dyDescent="0.25">
      <c r="B26" s="19"/>
      <c r="C26" s="20" t="s">
        <v>41</v>
      </c>
      <c r="D26" s="20" t="s">
        <v>17</v>
      </c>
      <c r="E26" s="25">
        <v>12.230130000000001</v>
      </c>
      <c r="F26" s="21"/>
      <c r="G26" s="21" t="s">
        <v>116</v>
      </c>
      <c r="H26" s="21" t="s">
        <v>57</v>
      </c>
      <c r="I26" s="21"/>
      <c r="J26" s="21"/>
      <c r="K26" s="25"/>
      <c r="L26" s="21"/>
      <c r="M26" s="21"/>
      <c r="N26" s="22"/>
      <c r="O26" s="23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 spans="2:114" s="2" customFormat="1" ht="15.75" customHeight="1" x14ac:dyDescent="0.25">
      <c r="B27" s="19"/>
      <c r="C27" s="20" t="s">
        <v>42</v>
      </c>
      <c r="D27" s="20" t="s">
        <v>17</v>
      </c>
      <c r="E27" s="25">
        <v>53.000051999999997</v>
      </c>
      <c r="F27" s="21" t="s">
        <v>126</v>
      </c>
      <c r="G27" s="21">
        <v>1322250</v>
      </c>
      <c r="H27" s="21" t="s">
        <v>9</v>
      </c>
      <c r="I27" s="21"/>
      <c r="J27" s="21"/>
      <c r="K27" s="25"/>
      <c r="L27" s="21"/>
      <c r="M27" s="21"/>
      <c r="N27" s="22"/>
      <c r="O27" s="23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</row>
    <row r="28" spans="2:114" s="2" customFormat="1" ht="15.75" customHeight="1" x14ac:dyDescent="0.25">
      <c r="B28" s="19"/>
      <c r="C28" s="20" t="s">
        <v>43</v>
      </c>
      <c r="D28" s="20" t="s">
        <v>17</v>
      </c>
      <c r="E28" s="25">
        <v>53.000022000000001</v>
      </c>
      <c r="F28" s="21" t="s">
        <v>127</v>
      </c>
      <c r="G28" s="21">
        <v>1322250</v>
      </c>
      <c r="H28" s="21" t="s">
        <v>9</v>
      </c>
      <c r="I28" s="21"/>
      <c r="J28" s="21"/>
      <c r="K28" s="25"/>
      <c r="L28" s="21"/>
      <c r="M28" s="21"/>
      <c r="N28" s="22"/>
      <c r="O28" s="23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2:114" s="2" customFormat="1" ht="15.75" customHeight="1" x14ac:dyDescent="0.25">
      <c r="B29" s="19"/>
      <c r="C29" s="20" t="s">
        <v>44</v>
      </c>
      <c r="D29" s="20" t="s">
        <v>17</v>
      </c>
      <c r="E29" s="25">
        <v>53.000000999999997</v>
      </c>
      <c r="F29" s="21" t="s">
        <v>114</v>
      </c>
      <c r="G29" s="21">
        <v>1322250</v>
      </c>
      <c r="H29" s="21" t="s">
        <v>9</v>
      </c>
      <c r="I29" s="21"/>
      <c r="J29" s="21"/>
      <c r="K29" s="25"/>
      <c r="L29" s="21"/>
      <c r="M29" s="21"/>
      <c r="N29" s="23"/>
      <c r="O29" s="23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</row>
    <row r="30" spans="2:114" s="2" customFormat="1" ht="15.75" customHeight="1" x14ac:dyDescent="0.25">
      <c r="B30" s="19"/>
      <c r="C30" s="20" t="s">
        <v>45</v>
      </c>
      <c r="D30" s="20" t="s">
        <v>17</v>
      </c>
      <c r="E30" s="25" t="s">
        <v>95</v>
      </c>
      <c r="F30" s="21" t="s">
        <v>128</v>
      </c>
      <c r="G30" s="21">
        <v>1322250</v>
      </c>
      <c r="H30" s="21" t="s">
        <v>9</v>
      </c>
      <c r="I30" s="21"/>
      <c r="J30" s="21"/>
      <c r="K30" s="38"/>
      <c r="L30" s="21"/>
      <c r="M30" s="21"/>
      <c r="N30" s="23"/>
      <c r="O30" s="23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</row>
    <row r="31" spans="2:114" s="2" customFormat="1" ht="15.75" customHeight="1" x14ac:dyDescent="0.25">
      <c r="B31" s="19"/>
      <c r="C31" s="20" t="s">
        <v>46</v>
      </c>
      <c r="D31" s="20" t="s">
        <v>17</v>
      </c>
      <c r="E31" s="25" t="s">
        <v>90</v>
      </c>
      <c r="F31" s="21" t="s">
        <v>113</v>
      </c>
      <c r="G31" s="21">
        <v>1322250</v>
      </c>
      <c r="H31" s="21" t="s">
        <v>9</v>
      </c>
      <c r="I31" s="21"/>
      <c r="J31" s="21"/>
      <c r="K31" s="25"/>
      <c r="L31" s="21"/>
      <c r="M31" s="21"/>
      <c r="N31" s="23"/>
      <c r="O31" s="23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</row>
    <row r="32" spans="2:114" s="2" customFormat="1" ht="15.75" customHeight="1" x14ac:dyDescent="0.25">
      <c r="B32" s="19"/>
      <c r="C32" s="20" t="s">
        <v>47</v>
      </c>
      <c r="D32" s="20" t="s">
        <v>17</v>
      </c>
      <c r="E32" s="25" t="s">
        <v>91</v>
      </c>
      <c r="F32" s="21" t="s">
        <v>117</v>
      </c>
      <c r="G32" s="21">
        <v>1322250</v>
      </c>
      <c r="H32" s="21" t="s">
        <v>9</v>
      </c>
      <c r="I32" s="21"/>
      <c r="J32" s="21"/>
      <c r="K32" s="25"/>
      <c r="L32" s="21"/>
      <c r="M32" s="21"/>
      <c r="N32" s="22"/>
      <c r="O32" s="23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2:114" s="2" customFormat="1" ht="15.75" customHeight="1" x14ac:dyDescent="0.25">
      <c r="B33" s="19"/>
      <c r="C33" s="20" t="s">
        <v>48</v>
      </c>
      <c r="D33" s="20" t="s">
        <v>17</v>
      </c>
      <c r="E33" s="25" t="s">
        <v>96</v>
      </c>
      <c r="F33" s="21" t="s">
        <v>114</v>
      </c>
      <c r="G33" s="21">
        <v>1322250</v>
      </c>
      <c r="H33" s="21" t="s">
        <v>9</v>
      </c>
      <c r="I33" s="21"/>
      <c r="J33" s="21"/>
      <c r="K33" s="25"/>
      <c r="L33" s="21"/>
      <c r="M33" s="21"/>
      <c r="N33" s="22"/>
      <c r="O33" s="2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</row>
    <row r="34" spans="2:114" s="2" customFormat="1" ht="15.75" customHeight="1" x14ac:dyDescent="0.25">
      <c r="B34" s="19"/>
      <c r="C34" s="20" t="s">
        <v>49</v>
      </c>
      <c r="D34" s="20" t="s">
        <v>17</v>
      </c>
      <c r="E34" s="25" t="s">
        <v>97</v>
      </c>
      <c r="F34" s="21" t="s">
        <v>115</v>
      </c>
      <c r="G34" s="21"/>
      <c r="H34" s="21" t="s">
        <v>58</v>
      </c>
      <c r="I34" s="21"/>
      <c r="J34" s="21"/>
      <c r="K34" s="25"/>
      <c r="L34" s="21"/>
      <c r="M34" s="21"/>
      <c r="N34" s="23"/>
      <c r="O34" s="23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 spans="2:114" s="2" customFormat="1" ht="15.75" customHeight="1" x14ac:dyDescent="0.25">
      <c r="B35" s="19"/>
      <c r="C35" s="20" t="s">
        <v>50</v>
      </c>
      <c r="D35" s="20" t="s">
        <v>17</v>
      </c>
      <c r="E35" s="25" t="s">
        <v>96</v>
      </c>
      <c r="F35" s="21" t="s">
        <v>114</v>
      </c>
      <c r="G35" s="21">
        <v>1322250</v>
      </c>
      <c r="H35" s="21" t="s">
        <v>9</v>
      </c>
      <c r="I35" s="21"/>
      <c r="J35" s="21"/>
      <c r="K35" s="25"/>
      <c r="L35" s="21"/>
      <c r="M35" s="21"/>
      <c r="N35" s="23"/>
      <c r="O35" s="23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</row>
    <row r="36" spans="2:114" s="2" customFormat="1" ht="15.75" customHeight="1" x14ac:dyDescent="0.25">
      <c r="B36" s="19"/>
      <c r="C36" s="20" t="s">
        <v>51</v>
      </c>
      <c r="D36" s="20" t="s">
        <v>17</v>
      </c>
      <c r="E36" s="25" t="s">
        <v>98</v>
      </c>
      <c r="F36" s="21" t="s">
        <v>123</v>
      </c>
      <c r="G36" s="21">
        <v>1322250</v>
      </c>
      <c r="H36" s="21" t="s">
        <v>9</v>
      </c>
      <c r="I36" s="21"/>
      <c r="J36" s="21"/>
      <c r="K36" s="25"/>
      <c r="L36" s="21"/>
      <c r="M36" s="21"/>
      <c r="N36" s="23"/>
      <c r="O36" s="23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2:114" s="2" customFormat="1" ht="15.75" customHeight="1" x14ac:dyDescent="0.25">
      <c r="B37" s="19"/>
      <c r="C37" s="20" t="s">
        <v>52</v>
      </c>
      <c r="D37" s="20" t="s">
        <v>17</v>
      </c>
      <c r="E37" s="25" t="s">
        <v>99</v>
      </c>
      <c r="F37" s="21" t="s">
        <v>129</v>
      </c>
      <c r="G37" s="21">
        <v>1322250</v>
      </c>
      <c r="H37" s="21" t="s">
        <v>9</v>
      </c>
      <c r="I37" s="21"/>
      <c r="J37" s="21"/>
      <c r="K37" s="25"/>
      <c r="L37" s="21"/>
      <c r="M37" s="21"/>
      <c r="N37" s="23"/>
      <c r="O37" s="23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 spans="2:114" s="2" customFormat="1" ht="15.75" customHeight="1" x14ac:dyDescent="0.25">
      <c r="B38" s="19"/>
      <c r="C38" s="20" t="s">
        <v>59</v>
      </c>
      <c r="D38" s="20" t="s">
        <v>17</v>
      </c>
      <c r="E38" s="25" t="s">
        <v>100</v>
      </c>
      <c r="F38" s="21" t="s">
        <v>121</v>
      </c>
      <c r="G38" s="21">
        <v>1322250</v>
      </c>
      <c r="H38" s="21" t="s">
        <v>9</v>
      </c>
      <c r="I38" s="21"/>
      <c r="J38" s="21"/>
      <c r="K38" s="25"/>
      <c r="L38" s="21"/>
      <c r="M38" s="21"/>
      <c r="N38" s="23"/>
      <c r="O38" s="23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2:114" s="2" customFormat="1" ht="15.75" customHeight="1" x14ac:dyDescent="0.25">
      <c r="B39" s="19"/>
      <c r="C39" s="20" t="s">
        <v>60</v>
      </c>
      <c r="D39" s="20" t="s">
        <v>17</v>
      </c>
      <c r="E39" s="25" t="s">
        <v>101</v>
      </c>
      <c r="F39" s="21" t="s">
        <v>130</v>
      </c>
      <c r="G39" s="21">
        <v>1322250</v>
      </c>
      <c r="H39" s="21" t="s">
        <v>9</v>
      </c>
      <c r="I39" s="21"/>
      <c r="J39" s="21"/>
      <c r="K39" s="25"/>
      <c r="L39" s="21"/>
      <c r="M39" s="21"/>
      <c r="N39" s="23"/>
      <c r="O39" s="23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</row>
    <row r="40" spans="2:114" s="2" customFormat="1" ht="15.75" customHeight="1" x14ac:dyDescent="0.25">
      <c r="B40" s="19"/>
      <c r="C40" s="20" t="s">
        <v>61</v>
      </c>
      <c r="D40" s="20" t="s">
        <v>17</v>
      </c>
      <c r="E40" s="25" t="s">
        <v>97</v>
      </c>
      <c r="F40" s="21" t="s">
        <v>115</v>
      </c>
      <c r="G40" s="21">
        <v>1322250</v>
      </c>
      <c r="H40" s="21" t="s">
        <v>9</v>
      </c>
      <c r="I40" s="21"/>
      <c r="J40" s="21"/>
      <c r="K40" s="25"/>
      <c r="L40" s="21"/>
      <c r="M40" s="21"/>
      <c r="N40" s="23"/>
      <c r="O40" s="23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</row>
    <row r="41" spans="2:114" s="2" customFormat="1" ht="15.75" customHeight="1" x14ac:dyDescent="0.25">
      <c r="B41" s="19"/>
      <c r="C41" s="20" t="s">
        <v>62</v>
      </c>
      <c r="D41" s="20" t="s">
        <v>17</v>
      </c>
      <c r="E41" s="25" t="s">
        <v>92</v>
      </c>
      <c r="F41" s="21" t="s">
        <v>131</v>
      </c>
      <c r="G41" s="21">
        <v>1322250</v>
      </c>
      <c r="H41" s="21" t="s">
        <v>9</v>
      </c>
      <c r="I41" s="21"/>
      <c r="J41" s="21"/>
      <c r="K41" s="25"/>
      <c r="L41" s="21"/>
      <c r="M41" s="21"/>
      <c r="N41" s="23"/>
      <c r="O41" s="23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</row>
    <row r="42" spans="2:114" s="2" customFormat="1" ht="15.75" customHeight="1" x14ac:dyDescent="0.25">
      <c r="B42" s="19"/>
      <c r="C42" s="20" t="s">
        <v>63</v>
      </c>
      <c r="D42" s="20" t="s">
        <v>17</v>
      </c>
      <c r="E42" s="25"/>
      <c r="F42" s="21"/>
      <c r="G42" s="21"/>
      <c r="H42" s="21" t="s">
        <v>86</v>
      </c>
      <c r="I42" s="21"/>
      <c r="J42" s="21"/>
      <c r="K42" s="25"/>
      <c r="L42" s="21"/>
      <c r="M42" s="21"/>
      <c r="N42" s="23"/>
      <c r="O42" s="23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</row>
    <row r="43" spans="2:114" s="2" customFormat="1" ht="15.75" customHeight="1" x14ac:dyDescent="0.25">
      <c r="B43" s="19"/>
      <c r="C43" s="20" t="s">
        <v>64</v>
      </c>
      <c r="D43" s="20" t="s">
        <v>17</v>
      </c>
      <c r="E43" s="25" t="s">
        <v>96</v>
      </c>
      <c r="F43" s="21" t="s">
        <v>114</v>
      </c>
      <c r="G43" s="21">
        <v>1322250</v>
      </c>
      <c r="H43" s="21" t="s">
        <v>9</v>
      </c>
      <c r="I43" s="21"/>
      <c r="J43" s="21"/>
      <c r="K43" s="25"/>
      <c r="L43" s="21"/>
      <c r="M43" s="21"/>
      <c r="N43" s="22"/>
      <c r="O43" s="2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</row>
    <row r="44" spans="2:114" s="2" customFormat="1" ht="15.75" customHeight="1" x14ac:dyDescent="0.25">
      <c r="B44" s="19"/>
      <c r="C44" s="20" t="s">
        <v>65</v>
      </c>
      <c r="D44" s="20" t="s">
        <v>17</v>
      </c>
      <c r="E44" s="25" t="s">
        <v>97</v>
      </c>
      <c r="F44" s="21" t="s">
        <v>115</v>
      </c>
      <c r="G44" s="21">
        <v>1322250</v>
      </c>
      <c r="H44" s="21" t="s">
        <v>9</v>
      </c>
      <c r="I44" s="21"/>
      <c r="J44" s="21"/>
      <c r="K44" s="25"/>
      <c r="L44" s="21"/>
      <c r="M44" s="21"/>
      <c r="N44" s="23"/>
      <c r="O44" s="23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</row>
    <row r="45" spans="2:114" s="2" customFormat="1" ht="15.75" customHeight="1" x14ac:dyDescent="0.25">
      <c r="B45" s="19"/>
      <c r="C45" s="20" t="s">
        <v>66</v>
      </c>
      <c r="D45" s="20" t="s">
        <v>17</v>
      </c>
      <c r="E45" s="25" t="s">
        <v>101</v>
      </c>
      <c r="F45" s="21" t="s">
        <v>122</v>
      </c>
      <c r="G45" s="21">
        <v>1322250</v>
      </c>
      <c r="H45" s="21" t="s">
        <v>9</v>
      </c>
      <c r="I45" s="21"/>
      <c r="J45" s="21"/>
      <c r="K45" s="25"/>
      <c r="L45" s="21"/>
      <c r="M45" s="21"/>
      <c r="N45" s="23"/>
      <c r="O45" s="23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</row>
    <row r="46" spans="2:114" s="2" customFormat="1" ht="15.75" customHeight="1" x14ac:dyDescent="0.25">
      <c r="B46" s="19"/>
      <c r="C46" s="20" t="s">
        <v>67</v>
      </c>
      <c r="D46" s="20" t="s">
        <v>17</v>
      </c>
      <c r="E46" s="25" t="s">
        <v>99</v>
      </c>
      <c r="F46" s="21" t="s">
        <v>129</v>
      </c>
      <c r="G46" s="21">
        <v>1322250</v>
      </c>
      <c r="H46" s="21" t="s">
        <v>9</v>
      </c>
      <c r="I46" s="21"/>
      <c r="J46" s="21"/>
      <c r="K46" s="25"/>
      <c r="L46" s="21"/>
      <c r="M46" s="21"/>
      <c r="N46" s="23"/>
      <c r="O46" s="23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2:114" s="2" customFormat="1" ht="15.75" customHeight="1" x14ac:dyDescent="0.25">
      <c r="B47" s="19"/>
      <c r="C47" s="20" t="s">
        <v>68</v>
      </c>
      <c r="D47" s="20" t="s">
        <v>17</v>
      </c>
      <c r="E47" s="25" t="s">
        <v>97</v>
      </c>
      <c r="F47" s="21" t="s">
        <v>115</v>
      </c>
      <c r="G47" s="21">
        <v>1322250</v>
      </c>
      <c r="H47" s="21" t="s">
        <v>9</v>
      </c>
      <c r="I47" s="21"/>
      <c r="J47" s="21"/>
      <c r="K47" s="25"/>
      <c r="L47" s="21"/>
      <c r="M47" s="21"/>
      <c r="N47" s="23"/>
      <c r="O47" s="23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</row>
    <row r="48" spans="2:114" s="2" customFormat="1" ht="15.75" customHeight="1" x14ac:dyDescent="0.25">
      <c r="B48" s="19"/>
      <c r="C48" s="20" t="s">
        <v>69</v>
      </c>
      <c r="D48" s="20" t="s">
        <v>17</v>
      </c>
      <c r="E48" s="25" t="s">
        <v>102</v>
      </c>
      <c r="F48" s="21" t="s">
        <v>132</v>
      </c>
      <c r="G48" s="21">
        <v>1322250</v>
      </c>
      <c r="H48" s="21" t="s">
        <v>9</v>
      </c>
      <c r="I48" s="21"/>
      <c r="J48" s="21"/>
      <c r="K48" s="25"/>
      <c r="L48" s="21"/>
      <c r="M48" s="21"/>
      <c r="N48" s="23"/>
      <c r="O48" s="23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</row>
    <row r="49" spans="2:114" s="2" customFormat="1" ht="15.75" customHeight="1" x14ac:dyDescent="0.25">
      <c r="B49" s="19"/>
      <c r="C49" s="20" t="s">
        <v>70</v>
      </c>
      <c r="D49" s="20" t="s">
        <v>17</v>
      </c>
      <c r="E49" s="25" t="s">
        <v>103</v>
      </c>
      <c r="F49" s="21" t="s">
        <v>126</v>
      </c>
      <c r="G49" s="21">
        <v>1322250</v>
      </c>
      <c r="H49" s="21" t="s">
        <v>9</v>
      </c>
      <c r="I49" s="21"/>
      <c r="J49" s="21"/>
      <c r="K49" s="25"/>
      <c r="L49" s="21"/>
      <c r="M49" s="21"/>
      <c r="N49" s="23"/>
      <c r="O49" s="23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</row>
    <row r="50" spans="2:114" s="2" customFormat="1" ht="15.75" customHeight="1" x14ac:dyDescent="0.25">
      <c r="B50" s="19"/>
      <c r="C50" s="20" t="s">
        <v>71</v>
      </c>
      <c r="D50" s="20" t="s">
        <v>17</v>
      </c>
      <c r="E50" s="25" t="s">
        <v>96</v>
      </c>
      <c r="F50" s="21" t="s">
        <v>114</v>
      </c>
      <c r="G50" s="21">
        <v>1322250</v>
      </c>
      <c r="H50" s="21" t="s">
        <v>9</v>
      </c>
      <c r="I50" s="21"/>
      <c r="J50" s="21"/>
      <c r="K50" s="25"/>
      <c r="L50" s="21"/>
      <c r="M50" s="21"/>
      <c r="N50" s="23"/>
      <c r="O50" s="23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</row>
    <row r="51" spans="2:114" s="2" customFormat="1" ht="15.75" customHeight="1" x14ac:dyDescent="0.25">
      <c r="B51" s="19"/>
      <c r="C51" s="20" t="s">
        <v>72</v>
      </c>
      <c r="D51" s="20" t="s">
        <v>17</v>
      </c>
      <c r="E51" s="25" t="s">
        <v>90</v>
      </c>
      <c r="F51" s="21" t="s">
        <v>113</v>
      </c>
      <c r="G51" s="21">
        <v>1322250</v>
      </c>
      <c r="H51" s="21" t="s">
        <v>9</v>
      </c>
      <c r="I51" s="21"/>
      <c r="J51" s="21"/>
      <c r="K51" s="25"/>
      <c r="L51" s="21"/>
      <c r="M51" s="21"/>
      <c r="N51" s="23"/>
      <c r="O51" s="23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</row>
    <row r="52" spans="2:114" s="2" customFormat="1" ht="15.75" customHeight="1" x14ac:dyDescent="0.25">
      <c r="B52" s="19"/>
      <c r="C52" s="20" t="s">
        <v>73</v>
      </c>
      <c r="D52" s="20" t="s">
        <v>17</v>
      </c>
      <c r="E52" s="25" t="s">
        <v>104</v>
      </c>
      <c r="F52" s="21"/>
      <c r="G52" s="21"/>
      <c r="H52" s="21" t="s">
        <v>77</v>
      </c>
      <c r="I52" s="21"/>
      <c r="J52" s="21"/>
      <c r="K52" s="25"/>
      <c r="L52" s="21"/>
      <c r="M52" s="21"/>
      <c r="N52" s="23"/>
      <c r="O52" s="23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</row>
    <row r="53" spans="2:114" s="2" customFormat="1" ht="15.75" customHeight="1" x14ac:dyDescent="0.25">
      <c r="B53" s="19"/>
      <c r="C53" s="20" t="s">
        <v>74</v>
      </c>
      <c r="D53" s="20" t="s">
        <v>17</v>
      </c>
      <c r="E53" s="25" t="s">
        <v>105</v>
      </c>
      <c r="F53" s="21"/>
      <c r="G53" s="21"/>
      <c r="H53" s="21" t="s">
        <v>76</v>
      </c>
      <c r="I53" s="21"/>
      <c r="J53" s="21"/>
      <c r="K53" s="25"/>
      <c r="L53" s="21"/>
      <c r="M53" s="21"/>
      <c r="N53" s="23"/>
      <c r="O53" s="2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</row>
    <row r="54" spans="2:114" s="2" customFormat="1" ht="15.75" customHeight="1" x14ac:dyDescent="0.25">
      <c r="B54" s="19"/>
      <c r="C54" s="20" t="s">
        <v>75</v>
      </c>
      <c r="D54" s="20" t="s">
        <v>17</v>
      </c>
      <c r="E54" s="25" t="s">
        <v>106</v>
      </c>
      <c r="F54" s="21"/>
      <c r="G54" s="21"/>
      <c r="H54" s="21" t="s">
        <v>76</v>
      </c>
      <c r="I54" s="21"/>
      <c r="J54" s="21"/>
      <c r="K54" s="25"/>
      <c r="L54" s="21"/>
      <c r="M54" s="21"/>
      <c r="N54" s="23"/>
      <c r="O54" s="23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</row>
    <row r="55" spans="2:114" s="2" customFormat="1" ht="15.75" customHeight="1" x14ac:dyDescent="0.25">
      <c r="B55" s="19"/>
      <c r="C55" s="20" t="s">
        <v>78</v>
      </c>
      <c r="D55" s="20" t="s">
        <v>17</v>
      </c>
      <c r="E55" s="25" t="s">
        <v>107</v>
      </c>
      <c r="F55" s="21" t="s">
        <v>133</v>
      </c>
      <c r="G55" s="21">
        <v>1322250</v>
      </c>
      <c r="H55" s="21" t="s">
        <v>9</v>
      </c>
      <c r="I55" s="21"/>
      <c r="J55" s="21"/>
      <c r="K55" s="25"/>
      <c r="L55" s="21"/>
      <c r="M55" s="21"/>
      <c r="N55" s="23"/>
      <c r="O55" s="23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</row>
    <row r="56" spans="2:114" s="2" customFormat="1" ht="15.75" customHeight="1" x14ac:dyDescent="0.25">
      <c r="B56" s="19"/>
      <c r="C56" s="20" t="s">
        <v>79</v>
      </c>
      <c r="D56" s="20" t="s">
        <v>17</v>
      </c>
      <c r="E56" s="25" t="s">
        <v>97</v>
      </c>
      <c r="F56" s="21" t="s">
        <v>115</v>
      </c>
      <c r="G56" s="21">
        <v>1322250</v>
      </c>
      <c r="H56" s="21" t="s">
        <v>9</v>
      </c>
      <c r="I56" s="21"/>
      <c r="J56" s="21"/>
      <c r="K56" s="25"/>
      <c r="L56" s="21"/>
      <c r="M56" s="21"/>
      <c r="N56" s="23"/>
      <c r="O56" s="23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</row>
    <row r="57" spans="2:114" s="2" customFormat="1" ht="15.75" customHeight="1" x14ac:dyDescent="0.25">
      <c r="B57" s="19"/>
      <c r="C57" s="20" t="s">
        <v>80</v>
      </c>
      <c r="D57" s="20" t="s">
        <v>17</v>
      </c>
      <c r="E57" s="25" t="s">
        <v>97</v>
      </c>
      <c r="F57" s="21" t="s">
        <v>115</v>
      </c>
      <c r="G57" s="21"/>
      <c r="H57" s="21" t="s">
        <v>87</v>
      </c>
      <c r="I57" s="21"/>
      <c r="J57" s="21"/>
      <c r="K57" s="25"/>
      <c r="L57" s="21"/>
      <c r="M57" s="21"/>
      <c r="N57" s="23"/>
      <c r="O57" s="23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</row>
    <row r="58" spans="2:114" s="2" customFormat="1" ht="15.75" customHeight="1" x14ac:dyDescent="0.25">
      <c r="B58" s="19"/>
      <c r="C58" s="20" t="s">
        <v>81</v>
      </c>
      <c r="D58" s="20" t="s">
        <v>17</v>
      </c>
      <c r="E58" s="25" t="s">
        <v>99</v>
      </c>
      <c r="F58" s="21" t="s">
        <v>129</v>
      </c>
      <c r="G58" s="21">
        <v>1322250</v>
      </c>
      <c r="H58" s="21" t="s">
        <v>9</v>
      </c>
      <c r="I58" s="21"/>
      <c r="J58" s="21"/>
      <c r="K58" s="25"/>
      <c r="L58" s="21"/>
      <c r="M58" s="21"/>
      <c r="N58" s="23"/>
      <c r="O58" s="23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</row>
    <row r="59" spans="2:114" s="2" customFormat="1" ht="15.75" customHeight="1" x14ac:dyDescent="0.25">
      <c r="B59" s="19"/>
      <c r="C59" s="20" t="s">
        <v>82</v>
      </c>
      <c r="D59" s="20" t="s">
        <v>17</v>
      </c>
      <c r="E59" s="25" t="s">
        <v>108</v>
      </c>
      <c r="F59" s="21" t="s">
        <v>134</v>
      </c>
      <c r="G59" s="21">
        <v>1322250</v>
      </c>
      <c r="H59" s="21" t="s">
        <v>9</v>
      </c>
      <c r="I59" s="21"/>
      <c r="J59" s="21"/>
      <c r="K59" s="25"/>
      <c r="L59" s="21"/>
      <c r="M59" s="21"/>
      <c r="N59" s="23"/>
      <c r="O59" s="23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 spans="2:114" s="2" customFormat="1" ht="15.75" customHeight="1" x14ac:dyDescent="0.25">
      <c r="B60" s="19"/>
      <c r="C60" s="20" t="s">
        <v>83</v>
      </c>
      <c r="D60" s="20" t="s">
        <v>118</v>
      </c>
      <c r="E60" s="25" t="s">
        <v>109</v>
      </c>
      <c r="F60" s="21" t="s">
        <v>110</v>
      </c>
      <c r="G60" s="21"/>
      <c r="H60" s="21" t="s">
        <v>85</v>
      </c>
      <c r="I60" s="21" t="s">
        <v>170</v>
      </c>
      <c r="J60" s="21" t="s">
        <v>171</v>
      </c>
      <c r="K60" s="25"/>
      <c r="L60" s="21" t="s">
        <v>88</v>
      </c>
      <c r="M60" s="21"/>
      <c r="N60" s="23"/>
      <c r="O60" s="23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</row>
    <row r="61" spans="2:114" s="2" customFormat="1" ht="15.75" customHeight="1" x14ac:dyDescent="0.25">
      <c r="B61" s="19"/>
      <c r="C61" s="20" t="s">
        <v>84</v>
      </c>
      <c r="D61" s="20" t="s">
        <v>118</v>
      </c>
      <c r="E61" s="25" t="s">
        <v>112</v>
      </c>
      <c r="F61" s="21" t="s">
        <v>111</v>
      </c>
      <c r="G61" s="21"/>
      <c r="H61" s="21" t="s">
        <v>85</v>
      </c>
      <c r="I61" s="21" t="s">
        <v>170</v>
      </c>
      <c r="J61" s="21" t="s">
        <v>171</v>
      </c>
      <c r="K61" s="25"/>
      <c r="L61" s="21" t="s">
        <v>88</v>
      </c>
      <c r="M61" s="21"/>
      <c r="N61" s="23"/>
      <c r="O61" s="23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 spans="2:114" s="2" customFormat="1" ht="15.75" customHeight="1" x14ac:dyDescent="0.25">
      <c r="B62" s="19"/>
      <c r="C62" s="20" t="s">
        <v>166</v>
      </c>
      <c r="D62" s="20" t="s">
        <v>118</v>
      </c>
      <c r="E62" s="25" t="s">
        <v>167</v>
      </c>
      <c r="F62" s="21" t="s">
        <v>168</v>
      </c>
      <c r="G62" s="21"/>
      <c r="H62" s="21" t="s">
        <v>169</v>
      </c>
      <c r="I62" s="21" t="s">
        <v>170</v>
      </c>
      <c r="J62" s="21" t="s">
        <v>171</v>
      </c>
      <c r="K62" s="25"/>
      <c r="L62" s="21" t="s">
        <v>88</v>
      </c>
      <c r="M62" s="21"/>
      <c r="N62" s="23"/>
      <c r="O62" s="23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</row>
    <row r="63" spans="2:114" s="2" customFormat="1" ht="15.75" customHeight="1" x14ac:dyDescent="0.25">
      <c r="B63" s="19"/>
      <c r="C63" s="20"/>
      <c r="D63" s="20"/>
      <c r="E63" s="25"/>
      <c r="F63" s="21"/>
      <c r="G63" s="21"/>
      <c r="H63" s="21"/>
      <c r="I63" s="21"/>
      <c r="J63" s="21"/>
      <c r="K63" s="25"/>
      <c r="L63" s="21"/>
      <c r="M63" s="21"/>
      <c r="N63" s="23"/>
      <c r="O63" s="2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</row>
    <row r="64" spans="2:114" s="2" customFormat="1" ht="15.75" customHeight="1" x14ac:dyDescent="0.25">
      <c r="B64" s="19"/>
      <c r="C64" s="20"/>
      <c r="D64" s="20"/>
      <c r="E64" s="25"/>
      <c r="F64" s="21"/>
      <c r="G64" s="21"/>
      <c r="H64" s="21"/>
      <c r="I64" s="21"/>
      <c r="J64" s="21"/>
      <c r="K64" s="25"/>
      <c r="L64" s="21"/>
      <c r="M64" s="21"/>
      <c r="N64" s="23"/>
      <c r="O64" s="23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</row>
    <row r="65" spans="2:114" s="2" customFormat="1" ht="15.75" customHeight="1" x14ac:dyDescent="0.25">
      <c r="B65" s="19"/>
      <c r="C65" s="20"/>
      <c r="D65" s="20"/>
      <c r="E65" s="25"/>
      <c r="F65" s="21"/>
      <c r="G65" s="21"/>
      <c r="H65" s="21"/>
      <c r="I65" s="21"/>
      <c r="J65" s="21"/>
      <c r="K65" s="25"/>
      <c r="L65" s="21"/>
      <c r="M65" s="21"/>
      <c r="N65" s="23"/>
      <c r="O65" s="23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</row>
    <row r="66" spans="2:114" s="28" customFormat="1" ht="15.75" customHeight="1" x14ac:dyDescent="0.25">
      <c r="D66" s="20"/>
      <c r="G66" s="29"/>
      <c r="H66" s="30"/>
      <c r="I66" s="30"/>
      <c r="J66" s="32"/>
      <c r="K66" s="39"/>
      <c r="N66" s="31"/>
      <c r="O66" s="31"/>
    </row>
    <row r="67" spans="2:114" s="2" customFormat="1" ht="15.75" customHeight="1" x14ac:dyDescent="0.25">
      <c r="B67" s="19"/>
      <c r="C67" s="20"/>
      <c r="D67" s="20"/>
      <c r="E67" s="25"/>
      <c r="F67" s="21"/>
      <c r="G67" s="21"/>
      <c r="H67" s="21"/>
      <c r="I67" s="21"/>
      <c r="J67" s="21"/>
      <c r="K67" s="25"/>
      <c r="L67" s="21"/>
      <c r="M67" s="21"/>
      <c r="N67" s="23"/>
      <c r="O67" s="23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</row>
    <row r="68" spans="2:114" s="2" customFormat="1" ht="15.75" customHeight="1" x14ac:dyDescent="0.25">
      <c r="B68" s="19"/>
      <c r="C68" s="20"/>
      <c r="D68" s="20"/>
      <c r="E68" s="27"/>
      <c r="F68" s="21"/>
      <c r="G68" s="21"/>
      <c r="H68" s="21"/>
      <c r="I68" s="21"/>
      <c r="J68" s="21"/>
      <c r="K68" s="25"/>
      <c r="L68" s="21"/>
      <c r="M68" s="21"/>
      <c r="N68" s="23"/>
      <c r="O68" s="23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</row>
    <row r="69" spans="2:114" s="2" customFormat="1" ht="15.75" customHeight="1" x14ac:dyDescent="0.25">
      <c r="B69" s="19"/>
      <c r="C69" s="20"/>
      <c r="D69" s="20"/>
      <c r="E69" s="27"/>
      <c r="F69" s="21"/>
      <c r="G69" s="21"/>
      <c r="H69" s="21"/>
      <c r="I69" s="21"/>
      <c r="J69" s="21"/>
      <c r="K69" s="25"/>
      <c r="L69" s="21"/>
      <c r="M69" s="21"/>
      <c r="N69" s="23"/>
      <c r="O69" s="23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</row>
    <row r="70" spans="2:114" s="2" customFormat="1" ht="15.75" customHeight="1" x14ac:dyDescent="0.25">
      <c r="B70" s="6"/>
      <c r="C70" s="28"/>
      <c r="D70" s="20"/>
      <c r="E70" s="30"/>
      <c r="F70" s="28"/>
      <c r="G70" s="32"/>
      <c r="H70" s="30"/>
      <c r="I70" s="30"/>
      <c r="J70" s="30"/>
      <c r="K70" s="39"/>
      <c r="L70" s="28"/>
      <c r="M70" s="28"/>
      <c r="N70" s="31"/>
      <c r="O70" s="31"/>
    </row>
    <row r="71" spans="2:114" s="2" customFormat="1" ht="15.75" customHeight="1" x14ac:dyDescent="0.25">
      <c r="B71" s="6"/>
      <c r="C71" s="28"/>
      <c r="D71" s="20"/>
      <c r="E71" s="30"/>
      <c r="F71" s="28"/>
      <c r="G71" s="32"/>
      <c r="H71" s="30"/>
      <c r="I71" s="30"/>
      <c r="J71" s="30"/>
      <c r="K71" s="30"/>
      <c r="L71" s="28"/>
      <c r="M71" s="28"/>
      <c r="N71" s="31"/>
      <c r="O71" s="31"/>
    </row>
    <row r="72" spans="2:114" s="2" customFormat="1" ht="15.75" customHeight="1" x14ac:dyDescent="0.25">
      <c r="B72" s="6"/>
      <c r="C72" s="28"/>
      <c r="D72" s="20"/>
      <c r="E72" s="30"/>
      <c r="F72" s="28"/>
      <c r="G72" s="32"/>
      <c r="H72" s="30"/>
      <c r="I72" s="30"/>
      <c r="J72" s="30"/>
      <c r="K72" s="30"/>
      <c r="L72" s="28"/>
      <c r="M72" s="28"/>
      <c r="N72" s="31"/>
      <c r="O72" s="31"/>
    </row>
    <row r="73" spans="2:114" s="2" customFormat="1" ht="15.75" customHeight="1" x14ac:dyDescent="0.25">
      <c r="B73" s="6"/>
      <c r="C73" s="28"/>
      <c r="D73" s="20"/>
      <c r="E73" s="30"/>
      <c r="F73" s="28"/>
      <c r="G73" s="32"/>
      <c r="H73" s="30"/>
      <c r="I73" s="30"/>
      <c r="J73" s="32"/>
      <c r="K73" s="30"/>
      <c r="L73" s="28"/>
      <c r="M73" s="28"/>
      <c r="N73" s="31"/>
      <c r="O73" s="31"/>
    </row>
    <row r="74" spans="2:114" s="2" customFormat="1" ht="15.75" customHeight="1" x14ac:dyDescent="0.25">
      <c r="B74" s="6"/>
      <c r="D74" s="20"/>
      <c r="E74" s="7"/>
      <c r="G74" s="33"/>
      <c r="H74" s="7"/>
      <c r="I74" s="7"/>
      <c r="J74" s="33"/>
      <c r="K74" s="7"/>
      <c r="N74" s="3"/>
      <c r="O74" s="3"/>
    </row>
    <row r="75" spans="2:114" s="2" customFormat="1" ht="15.75" customHeight="1" x14ac:dyDescent="0.25">
      <c r="D75" s="20"/>
      <c r="E75" s="7"/>
      <c r="G75" s="33"/>
      <c r="H75" s="7"/>
      <c r="I75" s="7"/>
      <c r="J75" s="7"/>
      <c r="K75" s="7"/>
      <c r="N75" s="34"/>
      <c r="O75" s="34"/>
    </row>
    <row r="76" spans="2:114" s="2" customFormat="1" ht="15.75" customHeight="1" x14ac:dyDescent="0.25">
      <c r="B76" s="6"/>
      <c r="D76" s="20"/>
      <c r="G76" s="33"/>
      <c r="H76" s="7"/>
      <c r="I76" s="33"/>
      <c r="J76" s="7"/>
      <c r="K76" s="7"/>
      <c r="N76" s="3"/>
      <c r="O76" s="3"/>
    </row>
    <row r="77" spans="2:114" s="2" customFormat="1" ht="15.75" customHeight="1" x14ac:dyDescent="0.25">
      <c r="B77" s="6"/>
      <c r="C77" s="7"/>
      <c r="D77" s="20"/>
      <c r="E77" s="7"/>
      <c r="F77" s="7"/>
      <c r="G77" s="33"/>
      <c r="H77" s="7"/>
      <c r="I77" s="33"/>
      <c r="J77" s="7"/>
      <c r="K77" s="7"/>
      <c r="L77" s="7"/>
      <c r="M77" s="7"/>
      <c r="N77" s="35"/>
      <c r="O77" s="35"/>
    </row>
    <row r="78" spans="2:114" s="2" customFormat="1" ht="15.75" x14ac:dyDescent="0.25">
      <c r="B78" s="6"/>
      <c r="C78" s="7"/>
      <c r="D78" s="20"/>
      <c r="E78" s="36"/>
      <c r="F78" s="7"/>
      <c r="G78" s="33"/>
      <c r="H78" s="7"/>
      <c r="I78" s="7"/>
      <c r="J78" s="7"/>
      <c r="K78" s="7"/>
      <c r="L78" s="7"/>
      <c r="M78" s="7"/>
      <c r="N78" s="35"/>
      <c r="O78" s="37"/>
    </row>
    <row r="79" spans="2:114" s="2" customFormat="1" ht="15.75" x14ac:dyDescent="0.25">
      <c r="B79" s="6"/>
      <c r="C79" s="7"/>
      <c r="D79" s="20"/>
      <c r="E79" s="7"/>
      <c r="F79" s="7"/>
      <c r="G79" s="33"/>
      <c r="H79" s="7"/>
      <c r="I79" s="7"/>
      <c r="J79" s="7"/>
      <c r="K79" s="7"/>
      <c r="L79" s="7"/>
      <c r="M79" s="7"/>
      <c r="N79" s="35"/>
      <c r="O79" s="37"/>
    </row>
    <row r="80" spans="2:114" s="2" customFormat="1" ht="15.75" x14ac:dyDescent="0.25">
      <c r="B80" s="6"/>
      <c r="C80" s="7"/>
      <c r="D80" s="20"/>
      <c r="E80" s="7"/>
      <c r="F80" s="7"/>
      <c r="G80" s="33"/>
      <c r="H80" s="7"/>
      <c r="I80" s="7"/>
      <c r="J80" s="7"/>
      <c r="K80" s="7"/>
      <c r="L80" s="7"/>
      <c r="M80" s="7"/>
      <c r="N80" s="35"/>
      <c r="O80" s="37"/>
    </row>
    <row r="81" spans="2:114" s="2" customFormat="1" ht="15.75" x14ac:dyDescent="0.25">
      <c r="B81" s="19"/>
      <c r="C81" s="20"/>
      <c r="D81" s="20"/>
      <c r="E81" s="27"/>
      <c r="F81" s="21"/>
      <c r="G81" s="21"/>
      <c r="H81" s="21"/>
      <c r="I81" s="21"/>
      <c r="J81" s="21"/>
      <c r="K81" s="21"/>
      <c r="L81" s="21"/>
      <c r="M81" s="21"/>
      <c r="N81" s="23"/>
      <c r="O81" s="23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</row>
    <row r="82" spans="2:114" s="2" customFormat="1" ht="15.75" x14ac:dyDescent="0.25">
      <c r="B82" s="19"/>
      <c r="C82" s="7"/>
      <c r="D82" s="20"/>
      <c r="E82" s="7"/>
      <c r="F82" s="7"/>
      <c r="G82" s="33"/>
      <c r="H82" s="7"/>
      <c r="I82" s="7"/>
      <c r="J82" s="33"/>
      <c r="K82" s="7"/>
      <c r="L82" s="7"/>
      <c r="M82" s="7"/>
      <c r="N82" s="35"/>
      <c r="O82" s="37"/>
    </row>
    <row r="83" spans="2:114" s="2" customFormat="1" ht="15.75" x14ac:dyDescent="0.25">
      <c r="B83" s="19"/>
      <c r="C83" s="7"/>
      <c r="D83" s="20"/>
      <c r="E83" s="7"/>
      <c r="F83" s="7"/>
      <c r="G83" s="33"/>
      <c r="H83" s="7"/>
      <c r="I83" s="7"/>
      <c r="J83" s="33"/>
      <c r="K83" s="7"/>
      <c r="L83" s="7"/>
      <c r="M83" s="7"/>
      <c r="N83" s="35"/>
      <c r="O83" s="37"/>
    </row>
    <row r="84" spans="2:114" s="2" customFormat="1" x14ac:dyDescent="0.25">
      <c r="B84" s="6"/>
      <c r="C84" s="7"/>
      <c r="D84" s="7"/>
      <c r="E84" s="7"/>
      <c r="F84" s="7"/>
      <c r="G84" s="33"/>
      <c r="H84" s="7"/>
      <c r="I84" s="7"/>
      <c r="J84" s="33"/>
      <c r="K84" s="7"/>
      <c r="L84" s="7"/>
      <c r="M84" s="7"/>
      <c r="N84" s="35"/>
      <c r="O84" s="37"/>
    </row>
    <row r="85" spans="2:114" x14ac:dyDescent="0.25">
      <c r="C85" s="7"/>
      <c r="D85" s="7"/>
      <c r="E85" s="36"/>
      <c r="F85" s="7"/>
      <c r="G85" s="33"/>
      <c r="H85" s="7"/>
      <c r="I85" s="7"/>
      <c r="J85" s="33"/>
      <c r="K85" s="7"/>
      <c r="L85" s="7"/>
      <c r="M85" s="7"/>
      <c r="N85" s="35"/>
      <c r="O85" s="37"/>
    </row>
  </sheetData>
  <autoFilter ref="A3:DJ83" xr:uid="{00000000-0009-0000-0000-000000000000}"/>
  <dataConsolidate/>
  <mergeCells count="1">
    <mergeCell ref="B2:L2"/>
  </mergeCells>
  <conditionalFormatting sqref="O27:O28 O32:O33">
    <cfRule type="dataBar" priority="1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{80D9193B-3090-4565-8AF4-E6BB79305D9A}</x14:id>
        </ext>
      </extLst>
    </cfRule>
  </conditionalFormatting>
  <conditionalFormatting sqref="N27:N28">
    <cfRule type="dataBar" priority="9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{D11D59F1-5795-4780-B53F-F9C072C2A0E9}</x14:id>
        </ext>
      </extLst>
    </cfRule>
  </conditionalFormatting>
  <conditionalFormatting sqref="O38:O39">
    <cfRule type="dataBar" priority="8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{E2E7B4DC-FC50-4706-B1A5-FB97C4D1717A}</x14:id>
        </ext>
      </extLst>
    </cfRule>
  </conditionalFormatting>
  <conditionalFormatting sqref="N32:N33">
    <cfRule type="dataBar" priority="8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{E8533DF9-E30A-4D1D-A511-D9AA175C0357}</x14:id>
        </ext>
      </extLst>
    </cfRule>
  </conditionalFormatting>
  <conditionalFormatting sqref="N38">
    <cfRule type="dataBar" priority="8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{FDE27124-070F-487D-914D-5B9208E7CC0A}</x14:id>
        </ext>
      </extLst>
    </cfRule>
  </conditionalFormatting>
  <conditionalFormatting sqref="O45:O50 O52:O54 O57 O59">
    <cfRule type="dataBar" priority="7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{57A878E4-2635-40E3-BDE5-99510F949975}</x14:id>
        </ext>
      </extLst>
    </cfRule>
  </conditionalFormatting>
  <conditionalFormatting sqref="B44:B59">
    <cfRule type="iconSet" priority="78">
      <iconSet iconSet="3TrafficLights2" showValue="0">
        <cfvo type="percent" val="0"/>
        <cfvo type="num" val="1"/>
        <cfvo type="num" val="2"/>
      </iconSet>
    </cfRule>
  </conditionalFormatting>
  <conditionalFormatting sqref="N39:N42 N44:N50 N52:N54 N57:N59">
    <cfRule type="dataBar" priority="7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{69E1759C-D0E1-48BD-8497-6CEF9B3CF4AC}</x14:id>
        </ext>
      </extLst>
    </cfRule>
  </conditionalFormatting>
  <conditionalFormatting sqref="O37">
    <cfRule type="dataBar" priority="7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{3E3ADDF6-A99D-4543-A980-5D248B935055}</x14:id>
        </ext>
      </extLst>
    </cfRule>
  </conditionalFormatting>
  <conditionalFormatting sqref="N37">
    <cfRule type="dataBar" priority="7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{5CF3E195-B85B-431A-A559-1D6BD4F3A7DF}</x14:id>
        </ext>
      </extLst>
    </cfRule>
  </conditionalFormatting>
  <conditionalFormatting sqref="O7:O23">
    <cfRule type="dataBar" priority="7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{A9627E9A-92BF-496B-B3E3-E1763FD2B6C7}</x14:id>
        </ext>
      </extLst>
    </cfRule>
  </conditionalFormatting>
  <conditionalFormatting sqref="B4:B23">
    <cfRule type="iconSet" priority="69">
      <iconSet iconSet="3TrafficLights2" showValue="0">
        <cfvo type="percent" val="0"/>
        <cfvo type="num" val="1"/>
        <cfvo type="num" val="2"/>
      </iconSet>
    </cfRule>
  </conditionalFormatting>
  <conditionalFormatting sqref="N7:N23">
    <cfRule type="dataBar" priority="6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{16740822-1CC8-4D99-88E7-23A15B17764E}</x14:id>
        </ext>
      </extLst>
    </cfRule>
  </conditionalFormatting>
  <conditionalFormatting sqref="O4:O6">
    <cfRule type="dataBar" priority="6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{A2638DCD-C943-4157-96C1-DF1ECECBC73E}</x14:id>
        </ext>
      </extLst>
    </cfRule>
  </conditionalFormatting>
  <conditionalFormatting sqref="N4:N6">
    <cfRule type="dataBar" priority="6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{A5214F83-3AF8-48D8-A514-BB1477DA8726}</x14:id>
        </ext>
      </extLst>
    </cfRule>
  </conditionalFormatting>
  <conditionalFormatting sqref="O24:O26">
    <cfRule type="dataBar" priority="6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{83EF1137-F925-496D-AD39-C8D9E97DB88A}</x14:id>
        </ext>
      </extLst>
    </cfRule>
  </conditionalFormatting>
  <conditionalFormatting sqref="B24:B25">
    <cfRule type="iconSet" priority="61">
      <iconSet iconSet="3TrafficLights2" showValue="0">
        <cfvo type="percent" val="0"/>
        <cfvo type="num" val="1"/>
        <cfvo type="num" val="2"/>
      </iconSet>
    </cfRule>
  </conditionalFormatting>
  <conditionalFormatting sqref="N24:N25">
    <cfRule type="dataBar" priority="6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{6CF78416-9884-4A45-95F4-55CB17EB71BB}</x14:id>
        </ext>
      </extLst>
    </cfRule>
  </conditionalFormatting>
  <conditionalFormatting sqref="B26:B28 B32:B33 B37:B42">
    <cfRule type="iconSet" priority="59">
      <iconSet iconSet="3TrafficLights2" showValue="0">
        <cfvo type="percent" val="0"/>
        <cfvo type="num" val="1"/>
        <cfvo type="num" val="2"/>
      </iconSet>
    </cfRule>
  </conditionalFormatting>
  <conditionalFormatting sqref="N26">
    <cfRule type="dataBar" priority="5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{DB944ED0-620D-49CC-8E40-C2D13D8661BE}</x14:id>
        </ext>
      </extLst>
    </cfRule>
  </conditionalFormatting>
  <conditionalFormatting sqref="O29:O31">
    <cfRule type="dataBar" priority="5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{727C39B5-D117-4BF9-8206-CC67AF4E6DDA}</x14:id>
        </ext>
      </extLst>
    </cfRule>
  </conditionalFormatting>
  <conditionalFormatting sqref="B29:B31">
    <cfRule type="iconSet" priority="55">
      <iconSet iconSet="3TrafficLights2" showValue="0">
        <cfvo type="percent" val="0"/>
        <cfvo type="num" val="1"/>
        <cfvo type="num" val="2"/>
      </iconSet>
    </cfRule>
  </conditionalFormatting>
  <conditionalFormatting sqref="N29:N31">
    <cfRule type="dataBar" priority="5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{07AE88A7-D79B-4BB8-919F-7B32FCBA06E9}</x14:id>
        </ext>
      </extLst>
    </cfRule>
  </conditionalFormatting>
  <conditionalFormatting sqref="B34:B35">
    <cfRule type="iconSet" priority="51">
      <iconSet iconSet="3TrafficLights2" showValue="0">
        <cfvo type="percent" val="0"/>
        <cfvo type="num" val="1"/>
        <cfvo type="num" val="2"/>
      </iconSet>
    </cfRule>
  </conditionalFormatting>
  <conditionalFormatting sqref="O34:O35">
    <cfRule type="dataBar" priority="5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{90FD5877-E51E-408A-8B67-0EE73A5BDFB8}</x14:id>
        </ext>
      </extLst>
    </cfRule>
  </conditionalFormatting>
  <conditionalFormatting sqref="N34:N35">
    <cfRule type="dataBar" priority="4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{F5624273-7D36-4841-8141-DA1F1E859106}</x14:id>
        </ext>
      </extLst>
    </cfRule>
  </conditionalFormatting>
  <conditionalFormatting sqref="O36">
    <cfRule type="dataBar" priority="4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{29F51AD9-C31D-4255-9800-57864882D1FB}</x14:id>
        </ext>
      </extLst>
    </cfRule>
  </conditionalFormatting>
  <conditionalFormatting sqref="B36">
    <cfRule type="iconSet" priority="47">
      <iconSet iconSet="3TrafficLights2" showValue="0">
        <cfvo type="percent" val="0"/>
        <cfvo type="num" val="1"/>
        <cfvo type="num" val="2"/>
      </iconSet>
    </cfRule>
  </conditionalFormatting>
  <conditionalFormatting sqref="N36">
    <cfRule type="dataBar" priority="4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{77B3B1A0-E248-4856-9382-59CC0AEC7D50}</x14:id>
        </ext>
      </extLst>
    </cfRule>
  </conditionalFormatting>
  <conditionalFormatting sqref="B43">
    <cfRule type="iconSet" priority="44">
      <iconSet iconSet="3TrafficLights2" showValue="0">
        <cfvo type="percent" val="0"/>
        <cfvo type="num" val="1"/>
        <cfvo type="num" val="2"/>
      </iconSet>
    </cfRule>
  </conditionalFormatting>
  <conditionalFormatting sqref="N43">
    <cfRule type="dataBar" priority="4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{255CFADE-21FE-4BFC-B331-76A33F719D9A}</x14:id>
        </ext>
      </extLst>
    </cfRule>
  </conditionalFormatting>
  <conditionalFormatting sqref="O51">
    <cfRule type="dataBar" priority="3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{A31A1CF4-6CD1-42F7-984C-6D5340825814}</x14:id>
        </ext>
      </extLst>
    </cfRule>
  </conditionalFormatting>
  <conditionalFormatting sqref="N51">
    <cfRule type="dataBar" priority="3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{1D40D345-BCD3-47D2-8863-53BFD147F2F9}</x14:id>
        </ext>
      </extLst>
    </cfRule>
  </conditionalFormatting>
  <conditionalFormatting sqref="O55">
    <cfRule type="dataBar" priority="3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{4E464B27-B391-4221-8094-8046BE2AC836}</x14:id>
        </ext>
      </extLst>
    </cfRule>
  </conditionalFormatting>
  <conditionalFormatting sqref="N55">
    <cfRule type="dataBar" priority="3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{EC306A6E-A539-4D43-B63E-A8A56E37C62C}</x14:id>
        </ext>
      </extLst>
    </cfRule>
  </conditionalFormatting>
  <conditionalFormatting sqref="O56">
    <cfRule type="dataBar" priority="3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{AC1A7927-4A53-4EE2-8BB6-C718A8B40653}</x14:id>
        </ext>
      </extLst>
    </cfRule>
  </conditionalFormatting>
  <conditionalFormatting sqref="N56">
    <cfRule type="dataBar" priority="3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{D7624242-10FC-4133-8306-454FD87FE5E9}</x14:id>
        </ext>
      </extLst>
    </cfRule>
  </conditionalFormatting>
  <conditionalFormatting sqref="O40:O44">
    <cfRule type="dataBar" priority="3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{ED38614E-208F-4F84-A57F-88E76361849D}</x14:id>
        </ext>
      </extLst>
    </cfRule>
  </conditionalFormatting>
  <conditionalFormatting sqref="O58">
    <cfRule type="dataBar" priority="3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{D7F380A7-7A12-413E-92BB-DCE94A19A3BB}</x14:id>
        </ext>
      </extLst>
    </cfRule>
  </conditionalFormatting>
  <conditionalFormatting sqref="B60:B62">
    <cfRule type="iconSet" priority="30">
      <iconSet iconSet="3TrafficLights2" showValue="0">
        <cfvo type="percent" val="0"/>
        <cfvo type="num" val="1"/>
        <cfvo type="num" val="2"/>
      </iconSet>
    </cfRule>
  </conditionalFormatting>
  <conditionalFormatting sqref="N60">
    <cfRule type="dataBar" priority="2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{01E4092F-FC89-484B-83D3-6FD0D046EA7C}</x14:id>
        </ext>
      </extLst>
    </cfRule>
  </conditionalFormatting>
  <conditionalFormatting sqref="O60">
    <cfRule type="dataBar" priority="2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{D5881B6F-CB4B-40DA-9059-BCBCF0623D5B}</x14:id>
        </ext>
      </extLst>
    </cfRule>
  </conditionalFormatting>
  <conditionalFormatting sqref="N61">
    <cfRule type="dataBar" priority="2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{94B93FBD-84F7-4EDE-BC0C-00679E2BD774}</x14:id>
        </ext>
      </extLst>
    </cfRule>
  </conditionalFormatting>
  <conditionalFormatting sqref="O61">
    <cfRule type="dataBar" priority="2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{BF460D56-0E29-42A3-9553-BAFC25C1E7C2}</x14:id>
        </ext>
      </extLst>
    </cfRule>
  </conditionalFormatting>
  <conditionalFormatting sqref="O62">
    <cfRule type="dataBar" priority="2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{7A7CF11C-41BA-4C5F-93CA-263F02D03735}</x14:id>
        </ext>
      </extLst>
    </cfRule>
  </conditionalFormatting>
  <conditionalFormatting sqref="N62">
    <cfRule type="dataBar" priority="2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{EF761561-9521-4E8C-9E7A-827C0302933F}</x14:id>
        </ext>
      </extLst>
    </cfRule>
  </conditionalFormatting>
  <conditionalFormatting sqref="B63">
    <cfRule type="iconSet" priority="23">
      <iconSet iconSet="3TrafficLights2" showValue="0">
        <cfvo type="percent" val="0"/>
        <cfvo type="num" val="1"/>
        <cfvo type="num" val="2"/>
      </iconSet>
    </cfRule>
  </conditionalFormatting>
  <conditionalFormatting sqref="O63">
    <cfRule type="dataBar" priority="2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{A61E2FD0-DDEB-451D-A8F6-413C500E7394}</x14:id>
        </ext>
      </extLst>
    </cfRule>
  </conditionalFormatting>
  <conditionalFormatting sqref="N63">
    <cfRule type="dataBar" priority="2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{35D75581-D8C3-4539-BC50-8A774BA191D4}</x14:id>
        </ext>
      </extLst>
    </cfRule>
  </conditionalFormatting>
  <conditionalFormatting sqref="B64">
    <cfRule type="iconSet" priority="20">
      <iconSet iconSet="3TrafficLights2" showValue="0">
        <cfvo type="percent" val="0"/>
        <cfvo type="num" val="1"/>
        <cfvo type="num" val="2"/>
      </iconSet>
    </cfRule>
  </conditionalFormatting>
  <conditionalFormatting sqref="N64">
    <cfRule type="dataBar" priority="1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{447C6DB7-CEA1-4C38-82BF-3244E592CCED}</x14:id>
        </ext>
      </extLst>
    </cfRule>
  </conditionalFormatting>
  <conditionalFormatting sqref="O64">
    <cfRule type="dataBar" priority="1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{7D6CA264-A521-4419-9399-144546E3C17A}</x14:id>
        </ext>
      </extLst>
    </cfRule>
  </conditionalFormatting>
  <conditionalFormatting sqref="B65">
    <cfRule type="iconSet" priority="16">
      <iconSet iconSet="3TrafficLights2" showValue="0">
        <cfvo type="percent" val="0"/>
        <cfvo type="num" val="1"/>
        <cfvo type="num" val="2"/>
      </iconSet>
    </cfRule>
  </conditionalFormatting>
  <conditionalFormatting sqref="N65">
    <cfRule type="dataBar" priority="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{700AC4E2-1E97-48CA-B7FB-843D5F785CA3}</x14:id>
        </ext>
      </extLst>
    </cfRule>
  </conditionalFormatting>
  <conditionalFormatting sqref="O65">
    <cfRule type="dataBar" priority="1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{97DF5A9C-8A3B-4504-847F-4BEC70D50C1A}</x14:id>
        </ext>
      </extLst>
    </cfRule>
  </conditionalFormatting>
  <conditionalFormatting sqref="B67">
    <cfRule type="iconSet" priority="13">
      <iconSet iconSet="3TrafficLights2" showValue="0">
        <cfvo type="percent" val="0"/>
        <cfvo type="num" val="1"/>
        <cfvo type="num" val="2"/>
      </iconSet>
    </cfRule>
  </conditionalFormatting>
  <conditionalFormatting sqref="N67">
    <cfRule type="dataBar" priority="1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{D6EA8DB8-A13E-4BB0-BA6B-DAEA21120D90}</x14:id>
        </ext>
      </extLst>
    </cfRule>
  </conditionalFormatting>
  <conditionalFormatting sqref="O67">
    <cfRule type="dataBar" priority="1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{464ADB15-6B2E-4A7F-BA2A-B94352A4969D}</x14:id>
        </ext>
      </extLst>
    </cfRule>
  </conditionalFormatting>
  <conditionalFormatting sqref="B68">
    <cfRule type="iconSet" priority="10">
      <iconSet iconSet="3TrafficLights2" showValue="0">
        <cfvo type="percent" val="0"/>
        <cfvo type="num" val="1"/>
        <cfvo type="num" val="2"/>
      </iconSet>
    </cfRule>
  </conditionalFormatting>
  <conditionalFormatting sqref="N68">
    <cfRule type="dataBar" priority="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{778C8001-710E-46C2-88E7-B311078C9296}</x14:id>
        </ext>
      </extLst>
    </cfRule>
  </conditionalFormatting>
  <conditionalFormatting sqref="O68">
    <cfRule type="dataBar" priority="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{503D8964-AEA0-4B34-BC5D-EFA5E5D7D548}</x14:id>
        </ext>
      </extLst>
    </cfRule>
  </conditionalFormatting>
  <conditionalFormatting sqref="B69">
    <cfRule type="iconSet" priority="7">
      <iconSet iconSet="3TrafficLights2" showValue="0">
        <cfvo type="percent" val="0"/>
        <cfvo type="num" val="1"/>
        <cfvo type="num" val="2"/>
      </iconSet>
    </cfRule>
  </conditionalFormatting>
  <conditionalFormatting sqref="N69">
    <cfRule type="dataBar" priority="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{5717EF4E-361D-4401-A80B-A0A06950F2F4}</x14:id>
        </ext>
      </extLst>
    </cfRule>
  </conditionalFormatting>
  <conditionalFormatting sqref="O69">
    <cfRule type="dataBar" priority="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{51058F7D-A2DF-468E-9A93-87E0AB029CE1}</x14:id>
        </ext>
      </extLst>
    </cfRule>
  </conditionalFormatting>
  <conditionalFormatting sqref="B81:B82">
    <cfRule type="iconSet" priority="4">
      <iconSet iconSet="3TrafficLights2" showValue="0">
        <cfvo type="percent" val="0"/>
        <cfvo type="num" val="1"/>
        <cfvo type="num" val="2"/>
      </iconSet>
    </cfRule>
  </conditionalFormatting>
  <conditionalFormatting sqref="N81">
    <cfRule type="dataBar" priority="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{56956E66-C939-4D3F-9810-8F6E225E05FA}</x14:id>
        </ext>
      </extLst>
    </cfRule>
  </conditionalFormatting>
  <conditionalFormatting sqref="O81">
    <cfRule type="dataBar" priority="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{F98F0DEE-5898-4158-8007-F5B5C3842B2D}</x14:id>
        </ext>
      </extLst>
    </cfRule>
  </conditionalFormatting>
  <conditionalFormatting sqref="B83">
    <cfRule type="iconSet" priority="1">
      <iconSet iconSet="3TrafficLights2" showValue="0">
        <cfvo type="percent" val="0"/>
        <cfvo type="num" val="1"/>
        <cfvo type="num" val="2"/>
      </iconSet>
    </cfRule>
  </conditionalFormatting>
  <pageMargins left="0.7" right="0.7" top="0.78740157499999996" bottom="0.78740157499999996" header="0.3" footer="0.3"/>
  <pageSetup paperSize="8" scale="1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9193B-3090-4565-8AF4-E6BB79305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O27:O28 O32:O33</xm:sqref>
        </x14:conditionalFormatting>
        <x14:conditionalFormatting xmlns:xm="http://schemas.microsoft.com/office/excel/2006/main">
          <x14:cfRule type="dataBar" id="{D11D59F1-5795-4780-B53F-F9C072C2A0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N27:N28</xm:sqref>
        </x14:conditionalFormatting>
        <x14:conditionalFormatting xmlns:xm="http://schemas.microsoft.com/office/excel/2006/main">
          <x14:cfRule type="dataBar" id="{E2E7B4DC-FC50-4706-B1A5-FB97C4D17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O38:O39</xm:sqref>
        </x14:conditionalFormatting>
        <x14:conditionalFormatting xmlns:xm="http://schemas.microsoft.com/office/excel/2006/main">
          <x14:cfRule type="dataBar" id="{E8533DF9-E30A-4D1D-A511-D9AA175C035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N32:N33</xm:sqref>
        </x14:conditionalFormatting>
        <x14:conditionalFormatting xmlns:xm="http://schemas.microsoft.com/office/excel/2006/main">
          <x14:cfRule type="dataBar" id="{FDE27124-070F-487D-914D-5B9208E7CC0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N38</xm:sqref>
        </x14:conditionalFormatting>
        <x14:conditionalFormatting xmlns:xm="http://schemas.microsoft.com/office/excel/2006/main">
          <x14:cfRule type="dataBar" id="{57A878E4-2635-40E3-BDE5-99510F94997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O45:O50 O52:O54 O57 O59</xm:sqref>
        </x14:conditionalFormatting>
        <x14:conditionalFormatting xmlns:xm="http://schemas.microsoft.com/office/excel/2006/main">
          <x14:cfRule type="dataBar" id="{69E1759C-D0E1-48BD-8497-6CEF9B3CF4A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N39:N42 N44:N50 N52:N54 N57:N59</xm:sqref>
        </x14:conditionalFormatting>
        <x14:conditionalFormatting xmlns:xm="http://schemas.microsoft.com/office/excel/2006/main">
          <x14:cfRule type="dataBar" id="{3E3ADDF6-A99D-4543-A980-5D248B93505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5CF3E195-B85B-431A-A559-1D6BD4F3A7D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N37</xm:sqref>
        </x14:conditionalFormatting>
        <x14:conditionalFormatting xmlns:xm="http://schemas.microsoft.com/office/excel/2006/main">
          <x14:cfRule type="dataBar" id="{A9627E9A-92BF-496B-B3E3-E1763FD2B6C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O7:O23</xm:sqref>
        </x14:conditionalFormatting>
        <x14:conditionalFormatting xmlns:xm="http://schemas.microsoft.com/office/excel/2006/main">
          <x14:cfRule type="dataBar" id="{16740822-1CC8-4D99-88E7-23A15B17764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N7:N23</xm:sqref>
        </x14:conditionalFormatting>
        <x14:conditionalFormatting xmlns:xm="http://schemas.microsoft.com/office/excel/2006/main">
          <x14:cfRule type="dataBar" id="{A2638DCD-C943-4157-96C1-DF1ECECBC73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O4:O6</xm:sqref>
        </x14:conditionalFormatting>
        <x14:conditionalFormatting xmlns:xm="http://schemas.microsoft.com/office/excel/2006/main">
          <x14:cfRule type="dataBar" id="{A5214F83-3AF8-48D8-A514-BB1477DA872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N4:N6</xm:sqref>
        </x14:conditionalFormatting>
        <x14:conditionalFormatting xmlns:xm="http://schemas.microsoft.com/office/excel/2006/main">
          <x14:cfRule type="dataBar" id="{83EF1137-F925-496D-AD39-C8D9E97DB88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O24:O26</xm:sqref>
        </x14:conditionalFormatting>
        <x14:conditionalFormatting xmlns:xm="http://schemas.microsoft.com/office/excel/2006/main">
          <x14:cfRule type="dataBar" id="{6CF78416-9884-4A45-95F4-55CB17EB71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N24:N25</xm:sqref>
        </x14:conditionalFormatting>
        <x14:conditionalFormatting xmlns:xm="http://schemas.microsoft.com/office/excel/2006/main">
          <x14:cfRule type="dataBar" id="{DB944ED0-620D-49CC-8E40-C2D13D8661B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727C39B5-D117-4BF9-8206-CC67AF4E6DD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O29:O31</xm:sqref>
        </x14:conditionalFormatting>
        <x14:conditionalFormatting xmlns:xm="http://schemas.microsoft.com/office/excel/2006/main">
          <x14:cfRule type="dataBar" id="{07AE88A7-D79B-4BB8-919F-7B32FCBA06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N29:N31</xm:sqref>
        </x14:conditionalFormatting>
        <x14:conditionalFormatting xmlns:xm="http://schemas.microsoft.com/office/excel/2006/main">
          <x14:cfRule type="dataBar" id="{90FD5877-E51E-408A-8B67-0EE73A5BDFB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O34:O35</xm:sqref>
        </x14:conditionalFormatting>
        <x14:conditionalFormatting xmlns:xm="http://schemas.microsoft.com/office/excel/2006/main">
          <x14:cfRule type="dataBar" id="{F5624273-7D36-4841-8141-DA1F1E85910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N34:N35</xm:sqref>
        </x14:conditionalFormatting>
        <x14:conditionalFormatting xmlns:xm="http://schemas.microsoft.com/office/excel/2006/main">
          <x14:cfRule type="dataBar" id="{29F51AD9-C31D-4255-9800-57864882D1F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77B3B1A0-E248-4856-9382-59CC0AEC7D5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N36</xm:sqref>
        </x14:conditionalFormatting>
        <x14:conditionalFormatting xmlns:xm="http://schemas.microsoft.com/office/excel/2006/main">
          <x14:cfRule type="dataBar" id="{255CFADE-21FE-4BFC-B331-76A33F719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N43</xm:sqref>
        </x14:conditionalFormatting>
        <x14:conditionalFormatting xmlns:xm="http://schemas.microsoft.com/office/excel/2006/main">
          <x14:cfRule type="dataBar" id="{A31A1CF4-6CD1-42F7-984C-6D534082581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O51</xm:sqref>
        </x14:conditionalFormatting>
        <x14:conditionalFormatting xmlns:xm="http://schemas.microsoft.com/office/excel/2006/main">
          <x14:cfRule type="dataBar" id="{1D40D345-BCD3-47D2-8863-53BFD147F2F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N51</xm:sqref>
        </x14:conditionalFormatting>
        <x14:conditionalFormatting xmlns:xm="http://schemas.microsoft.com/office/excel/2006/main">
          <x14:cfRule type="dataBar" id="{4E464B27-B391-4221-8094-8046BE2AC83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O55</xm:sqref>
        </x14:conditionalFormatting>
        <x14:conditionalFormatting xmlns:xm="http://schemas.microsoft.com/office/excel/2006/main">
          <x14:cfRule type="dataBar" id="{EC306A6E-A539-4D43-B63E-A8A56E37C62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N55</xm:sqref>
        </x14:conditionalFormatting>
        <x14:conditionalFormatting xmlns:xm="http://schemas.microsoft.com/office/excel/2006/main">
          <x14:cfRule type="dataBar" id="{AC1A7927-4A53-4EE2-8BB6-C718A8B4065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O56</xm:sqref>
        </x14:conditionalFormatting>
        <x14:conditionalFormatting xmlns:xm="http://schemas.microsoft.com/office/excel/2006/main">
          <x14:cfRule type="dataBar" id="{D7624242-10FC-4133-8306-454FD87FE5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N56</xm:sqref>
        </x14:conditionalFormatting>
        <x14:conditionalFormatting xmlns:xm="http://schemas.microsoft.com/office/excel/2006/main">
          <x14:cfRule type="dataBar" id="{ED38614E-208F-4F84-A57F-88E7636184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O40:O44</xm:sqref>
        </x14:conditionalFormatting>
        <x14:conditionalFormatting xmlns:xm="http://schemas.microsoft.com/office/excel/2006/main">
          <x14:cfRule type="dataBar" id="{D7F380A7-7A12-413E-92BB-DCE94A19A3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O58</xm:sqref>
        </x14:conditionalFormatting>
        <x14:conditionalFormatting xmlns:xm="http://schemas.microsoft.com/office/excel/2006/main">
          <x14:cfRule type="dataBar" id="{01E4092F-FC89-484B-83D3-6FD0D046EA7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N60</xm:sqref>
        </x14:conditionalFormatting>
        <x14:conditionalFormatting xmlns:xm="http://schemas.microsoft.com/office/excel/2006/main">
          <x14:cfRule type="dataBar" id="{D5881B6F-CB4B-40DA-9059-BCBCF0623D5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O60</xm:sqref>
        </x14:conditionalFormatting>
        <x14:conditionalFormatting xmlns:xm="http://schemas.microsoft.com/office/excel/2006/main">
          <x14:cfRule type="dataBar" id="{94B93FBD-84F7-4EDE-BC0C-00679E2BD77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N61</xm:sqref>
        </x14:conditionalFormatting>
        <x14:conditionalFormatting xmlns:xm="http://schemas.microsoft.com/office/excel/2006/main">
          <x14:cfRule type="dataBar" id="{BF460D56-0E29-42A3-9553-BAFC25C1E7C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O61</xm:sqref>
        </x14:conditionalFormatting>
        <x14:conditionalFormatting xmlns:xm="http://schemas.microsoft.com/office/excel/2006/main">
          <x14:cfRule type="dataBar" id="{7A7CF11C-41BA-4C5F-93CA-263F02D0373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O62</xm:sqref>
        </x14:conditionalFormatting>
        <x14:conditionalFormatting xmlns:xm="http://schemas.microsoft.com/office/excel/2006/main">
          <x14:cfRule type="dataBar" id="{EF761561-9521-4E8C-9E7A-827C0302933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N62</xm:sqref>
        </x14:conditionalFormatting>
        <x14:conditionalFormatting xmlns:xm="http://schemas.microsoft.com/office/excel/2006/main">
          <x14:cfRule type="dataBar" id="{A61E2FD0-DDEB-451D-A8F6-413C500E739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O63</xm:sqref>
        </x14:conditionalFormatting>
        <x14:conditionalFormatting xmlns:xm="http://schemas.microsoft.com/office/excel/2006/main">
          <x14:cfRule type="dataBar" id="{35D75581-D8C3-4539-BC50-8A774BA191D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N63</xm:sqref>
        </x14:conditionalFormatting>
        <x14:conditionalFormatting xmlns:xm="http://schemas.microsoft.com/office/excel/2006/main">
          <x14:cfRule type="dataBar" id="{447C6DB7-CEA1-4C38-82BF-3244E592CCE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N64</xm:sqref>
        </x14:conditionalFormatting>
        <x14:conditionalFormatting xmlns:xm="http://schemas.microsoft.com/office/excel/2006/main">
          <x14:cfRule type="dataBar" id="{7D6CA264-A521-4419-9399-144546E3C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O64</xm:sqref>
        </x14:conditionalFormatting>
        <x14:conditionalFormatting xmlns:xm="http://schemas.microsoft.com/office/excel/2006/main">
          <x14:cfRule type="dataBar" id="{700AC4E2-1E97-48CA-B7FB-843D5F785CA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N65</xm:sqref>
        </x14:conditionalFormatting>
        <x14:conditionalFormatting xmlns:xm="http://schemas.microsoft.com/office/excel/2006/main">
          <x14:cfRule type="dataBar" id="{97DF5A9C-8A3B-4504-847F-4BEC70D50C1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O65</xm:sqref>
        </x14:conditionalFormatting>
        <x14:conditionalFormatting xmlns:xm="http://schemas.microsoft.com/office/excel/2006/main">
          <x14:cfRule type="dataBar" id="{D6EA8DB8-A13E-4BB0-BA6B-DAEA21120D9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N67</xm:sqref>
        </x14:conditionalFormatting>
        <x14:conditionalFormatting xmlns:xm="http://schemas.microsoft.com/office/excel/2006/main">
          <x14:cfRule type="dataBar" id="{464ADB15-6B2E-4A7F-BA2A-B94352A496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O67</xm:sqref>
        </x14:conditionalFormatting>
        <x14:conditionalFormatting xmlns:xm="http://schemas.microsoft.com/office/excel/2006/main">
          <x14:cfRule type="dataBar" id="{778C8001-710E-46C2-88E7-B311078C929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N68</xm:sqref>
        </x14:conditionalFormatting>
        <x14:conditionalFormatting xmlns:xm="http://schemas.microsoft.com/office/excel/2006/main">
          <x14:cfRule type="dataBar" id="{503D8964-AEA0-4B34-BC5D-EFA5E5D7D54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O68</xm:sqref>
        </x14:conditionalFormatting>
        <x14:conditionalFormatting xmlns:xm="http://schemas.microsoft.com/office/excel/2006/main">
          <x14:cfRule type="dataBar" id="{5717EF4E-361D-4401-A80B-A0A06950F2F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N69</xm:sqref>
        </x14:conditionalFormatting>
        <x14:conditionalFormatting xmlns:xm="http://schemas.microsoft.com/office/excel/2006/main">
          <x14:cfRule type="dataBar" id="{51058F7D-A2DF-468E-9A93-87E0AB029CE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O69</xm:sqref>
        </x14:conditionalFormatting>
        <x14:conditionalFormatting xmlns:xm="http://schemas.microsoft.com/office/excel/2006/main">
          <x14:cfRule type="dataBar" id="{56956E66-C939-4D3F-9810-8F6E225E05F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N81</xm:sqref>
        </x14:conditionalFormatting>
        <x14:conditionalFormatting xmlns:xm="http://schemas.microsoft.com/office/excel/2006/main">
          <x14:cfRule type="dataBar" id="{F98F0DEE-5898-4158-8007-F5B5C3842B2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'Status Liste'!$A$2:$A$4</xm:f>
          </x14:formula1>
          <xm:sqref>N38 N7:N25 N29:N31 N34:N36 O4:O39 O43 N51:O51 O58 O60:O61 O64:O65 O67:O69 O81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29" sqref="D29"/>
    </sheetView>
  </sheetViews>
  <sheetFormatPr baseColWidth="10" defaultRowHeight="15" x14ac:dyDescent="0.25"/>
  <cols>
    <col min="1" max="1" width="12.5703125" customWidth="1"/>
  </cols>
  <sheetData>
    <row r="1" spans="1:1" x14ac:dyDescent="0.25">
      <c r="A1" t="s">
        <v>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60822D6E90E4B9842C914F28C75AF" ma:contentTypeVersion="22" ma:contentTypeDescription="Create a new document." ma:contentTypeScope="" ma:versionID="c0a26af2f494b51327415fc7c6a55e58">
  <xsd:schema xmlns:xsd="http://www.w3.org/2001/XMLSchema" xmlns:xs="http://www.w3.org/2001/XMLSchema" xmlns:p="http://schemas.microsoft.com/office/2006/metadata/properties" xmlns:ns1="http://schemas.microsoft.com/sharepoint/v3" xmlns:ns2="fbf11286-88bd-49f6-9e65-04081c2d26f1" xmlns:ns3="199c62a4-0f37-4b66-b4f0-d96c1b5a08a3" targetNamespace="http://schemas.microsoft.com/office/2006/metadata/properties" ma:root="true" ma:fieldsID="c4df49a5f4eb8e9ec2d8f32cb1d6e68e" ns1:_="" ns2:_="" ns3:_="">
    <xsd:import namespace="http://schemas.microsoft.com/sharepoint/v3"/>
    <xsd:import namespace="fbf11286-88bd-49f6-9e65-04081c2d26f1"/>
    <xsd:import namespace="199c62a4-0f37-4b66-b4f0-d96c1b5a0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ailGesend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11286-88bd-49f6-9e65-04081c2d2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2cf889-88a9-489e-9f08-ce9bd41721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ailGesendet" ma:index="29" nillable="true" ma:displayName="MailGesendet" ma:default="0" ma:format="Dropdown" ma:internalName="MailGesend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62a4-0f37-4b66-b4f0-d96c1b5a08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23f65d-059f-4a9c-af0f-a417b488feae}" ma:internalName="TaxCatchAll" ma:showField="CatchAllData" ma:web="199c62a4-0f37-4b66-b4f0-d96c1b5a0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c62a4-0f37-4b66-b4f0-d96c1b5a08a3" xsi:nil="true"/>
    <lcf76f155ced4ddcb4097134ff3c332f xmlns="fbf11286-88bd-49f6-9e65-04081c2d26f1">
      <Terms xmlns="http://schemas.microsoft.com/office/infopath/2007/PartnerControls"/>
    </lcf76f155ced4ddcb4097134ff3c332f>
    <_ip_UnifiedCompliancePolicyUIAction xmlns="http://schemas.microsoft.com/sharepoint/v3" xsi:nil="true"/>
    <_Flow_SignoffStatus xmlns="fbf11286-88bd-49f6-9e65-04081c2d26f1" xsi:nil="true"/>
    <_ip_UnifiedCompliancePolicyProperties xmlns="http://schemas.microsoft.com/sharepoint/v3" xsi:nil="true"/>
    <MailGesendet xmlns="fbf11286-88bd-49f6-9e65-04081c2d26f1">false</MailGesendet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0343CE-CDBC-42CF-BA7D-D7C03AEB1953}"/>
</file>

<file path=customXml/itemProps2.xml><?xml version="1.0" encoding="utf-8"?>
<ds:datastoreItem xmlns:ds="http://schemas.openxmlformats.org/officeDocument/2006/customXml" ds:itemID="{C5B3FFA1-7F31-4E44-9A0C-0203DCD99CF6}">
  <ds:schemaRefs>
    <ds:schemaRef ds:uri="http://schemas.microsoft.com/office/infopath/2007/PartnerControls"/>
    <ds:schemaRef ds:uri="http://purl.org/dc/dcmitype/"/>
    <ds:schemaRef ds:uri="199c62a4-0f37-4b66-b4f0-d96c1b5a08a3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fbf11286-88bd-49f6-9e65-04081c2d26f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9A4101F-6257-405D-8520-D15ABD4E8E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2018_Übersicht Sonderfreigaben</vt:lpstr>
      <vt:lpstr>Status Liste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GWF Qualitätsmanagement</dc:title>
  <dc:subject>Planung</dc:subject>
  <dc:creator>Erich Flühler</dc:creator>
  <cp:lastModifiedBy>Stephan Citteur</cp:lastModifiedBy>
  <cp:lastPrinted>2017-06-26T09:31:44Z</cp:lastPrinted>
  <dcterms:created xsi:type="dcterms:W3CDTF">2016-09-13T13:09:18Z</dcterms:created>
  <dcterms:modified xsi:type="dcterms:W3CDTF">2023-03-16T06:54:01Z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0x0101003F960822D6E90E4B9842C914F28C75AF</vt:lpwstr>
  </property>
  <property fmtid="{D5CDD505-2E9C-101B-9397-08002B2CF9AE}" pid="3" name="MediaServiceImageTags">
    <vt:lpwstr/>
  </property>
</Properties>
</file>