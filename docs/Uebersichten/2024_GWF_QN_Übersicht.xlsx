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https://gwfag.sharepoint.com/sites/ProductQuality/Shared Documents/10. Quality Notifications/2024/"/>
    </mc:Choice>
  </mc:AlternateContent>
  <xr:revisionPtr revIDLastSave="2362" documentId="13_ncr:1_{FA6135FC-4047-4F09-B1C1-760EE5B989A1}" xr6:coauthVersionLast="47" xr6:coauthVersionMax="47" xr10:uidLastSave="{2F95EC00-4ACA-4F4E-BF46-B17B73D9ED52}"/>
  <bookViews>
    <workbookView xWindow="28680" yWindow="-120" windowWidth="29040" windowHeight="15840" tabRatio="594" xr2:uid="{00000000-000D-0000-FFFF-FFFF00000000}"/>
  </bookViews>
  <sheets>
    <sheet name="2024_Übersicht QN" sheetId="5" r:id="rId1"/>
    <sheet name="Status Liste" sheetId="6" r:id="rId2"/>
  </sheets>
  <definedNames>
    <definedName name="_xlnm._FilterDatabase" localSheetId="0" hidden="1">'2024_Übersicht QN'!$A$3:$DJ$43</definedName>
    <definedName name="Ersteller" localSheetId="0">#REF!</definedName>
    <definedName name="Ersteller">#REF!</definedName>
    <definedName name="Liste_Audit_Thema" localSheetId="0">#REF!</definedName>
    <definedName name="Liste_Audit_Thema">#REF!</definedName>
    <definedName name="Liste_Prüfentscheid" localSheetId="0">#REF!</definedName>
    <definedName name="Liste_Prüfentscheid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0" i="5" l="1"/>
  <c r="B41" i="5"/>
  <c r="B42" i="5"/>
  <c r="B43" i="5"/>
  <c r="B39" i="5"/>
  <c r="B35" i="5"/>
  <c r="B36" i="5"/>
  <c r="B37" i="5"/>
  <c r="B38" i="5"/>
  <c r="B34" i="5"/>
  <c r="B33" i="5"/>
  <c r="B31" i="5"/>
  <c r="B32" i="5"/>
  <c r="B30" i="5"/>
  <c r="B29" i="5"/>
  <c r="B28" i="5"/>
  <c r="B27" i="5"/>
  <c r="B26" i="5"/>
  <c r="B24" i="5"/>
  <c r="B25" i="5"/>
  <c r="B23" i="5"/>
  <c r="B21" i="5"/>
  <c r="B20" i="5"/>
  <c r="B22" i="5"/>
  <c r="B19" i="5"/>
  <c r="B17" i="5"/>
  <c r="B16" i="5"/>
  <c r="B15" i="5"/>
  <c r="B14" i="5"/>
  <c r="B13" i="5"/>
  <c r="B12" i="5"/>
  <c r="B4" i="5"/>
  <c r="B5" i="5"/>
  <c r="B6" i="5"/>
  <c r="B7" i="5"/>
  <c r="B8" i="5"/>
  <c r="B11" i="5"/>
  <c r="B10" i="5"/>
  <c r="B9" i="5"/>
  <c r="B90" i="5"/>
  <c r="B91" i="5"/>
  <c r="B92" i="5"/>
  <c r="B93" i="5"/>
  <c r="B94" i="5"/>
  <c r="B95" i="5"/>
  <c r="B96" i="5"/>
  <c r="B97" i="5"/>
  <c r="B98" i="5"/>
  <c r="O2" i="5"/>
</calcChain>
</file>

<file path=xl/sharedStrings.xml><?xml version="1.0" encoding="utf-8"?>
<sst xmlns="http://schemas.openxmlformats.org/spreadsheetml/2006/main" count="421" uniqueCount="207">
  <si>
    <t>GWF Quality Notification Tracking 2024</t>
  </si>
  <si>
    <t>QN-Nr.</t>
  </si>
  <si>
    <t>PSW (Serie/Projekt)</t>
  </si>
  <si>
    <t>Artikelnummer</t>
  </si>
  <si>
    <t>Artikelbezeichnung</t>
  </si>
  <si>
    <t>Lieferanten-Nr</t>
  </si>
  <si>
    <t>Lieferant</t>
  </si>
  <si>
    <t>Begründung</t>
  </si>
  <si>
    <t>Massnahmen</t>
  </si>
  <si>
    <t>Freigabe bis / oder Menge</t>
  </si>
  <si>
    <t xml:space="preserve">Verantwortung
</t>
  </si>
  <si>
    <t>Doku</t>
  </si>
  <si>
    <t>Status</t>
  </si>
  <si>
    <t>Tracking</t>
  </si>
  <si>
    <t>24-001</t>
  </si>
  <si>
    <t>Serie</t>
  </si>
  <si>
    <t>44.000028</t>
  </si>
  <si>
    <t>HRE Light Shield</t>
  </si>
  <si>
    <t>Escatec</t>
  </si>
  <si>
    <t>Dimensions out of spec, flashing</t>
  </si>
  <si>
    <t>Tool repair</t>
  </si>
  <si>
    <t>N/A</t>
  </si>
  <si>
    <t>SCI</t>
  </si>
  <si>
    <t>offen</t>
  </si>
  <si>
    <t>24-002</t>
  </si>
  <si>
    <t>1F15</t>
  </si>
  <si>
    <t>Einstrahl-Wasserzähler UNICOe</t>
  </si>
  <si>
    <t>n/a</t>
  </si>
  <si>
    <t>3700 Stück mit fehlender SN Beschriftung</t>
  </si>
  <si>
    <t>Nacharbeit</t>
  </si>
  <si>
    <t>3700</t>
  </si>
  <si>
    <t>TTE</t>
  </si>
  <si>
    <t>freigegeben</t>
  </si>
  <si>
    <t>abgeschlossen</t>
  </si>
  <si>
    <t>24-003</t>
  </si>
  <si>
    <t>53.000001-M1</t>
  </si>
  <si>
    <t>Lydia Lower Frame</t>
  </si>
  <si>
    <t>Dimension 80 out of spec</t>
  </si>
  <si>
    <t>New tool M3</t>
  </si>
  <si>
    <t>31.05.2024</t>
  </si>
  <si>
    <t>24-004</t>
  </si>
  <si>
    <t>53.000002</t>
  </si>
  <si>
    <t>Lydia Stack Cover</t>
  </si>
  <si>
    <t>Dial plate fixation is not ok</t>
  </si>
  <si>
    <t>Tool adjustment</t>
  </si>
  <si>
    <t>24-005</t>
  </si>
  <si>
    <t>12.080023</t>
  </si>
  <si>
    <t>Messeinsatz-Unterteil Qn 2,5</t>
  </si>
  <si>
    <t>Nimoulda</t>
  </si>
  <si>
    <t>Dimension out of spec</t>
  </si>
  <si>
    <t>ZSO</t>
  </si>
  <si>
    <t>24-006</t>
  </si>
  <si>
    <t>2124.00022 - 2124.00025, 2124.00030, 2124.00031, 
2124.00056, 32.00051,
2124.00073 - 2124.00080</t>
  </si>
  <si>
    <t>v-h Sensor PSC with …m cabel (ATEX / non ATEX)</t>
  </si>
  <si>
    <t>GWF Technologies</t>
  </si>
  <si>
    <t>Incorrect temperature values</t>
  </si>
  <si>
    <t>Hardware Improvements</t>
  </si>
  <si>
    <t>PSK</t>
  </si>
  <si>
    <t>24-007</t>
  </si>
  <si>
    <t>2SE50</t>
  </si>
  <si>
    <t>Sonico EDGE DN50</t>
  </si>
  <si>
    <t xml:space="preserve">GWF </t>
  </si>
  <si>
    <t>5 pcs 2SE50 to be delivered in advanced to AEC</t>
  </si>
  <si>
    <t>Special production with latest OMEGA FW</t>
  </si>
  <si>
    <t>31.03.2024</t>
  </si>
  <si>
    <t>STH</t>
  </si>
  <si>
    <t>24-008</t>
  </si>
  <si>
    <t>2124.00032</t>
  </si>
  <si>
    <t>Q-Eye Insertion Sensor mit 10 m Kabel</t>
  </si>
  <si>
    <t>Expired supplier relationship / open orders</t>
  </si>
  <si>
    <t>Own Production / Delivery before series release</t>
  </si>
  <si>
    <t>24-009</t>
  </si>
  <si>
    <t>Hood AE5</t>
  </si>
  <si>
    <t>24-010</t>
  </si>
  <si>
    <t>44.000070</t>
  </si>
  <si>
    <t>HRE-CH Clamping Box</t>
  </si>
  <si>
    <t>Flashes as tool is end of life</t>
  </si>
  <si>
    <t>24-011</t>
  </si>
  <si>
    <t>KR20</t>
  </si>
  <si>
    <t>RCM-H200</t>
  </si>
  <si>
    <t>GWF AG</t>
  </si>
  <si>
    <t>250 Stück für AI Australien</t>
  </si>
  <si>
    <t>Freigabe FW</t>
  </si>
  <si>
    <t>250 Stück</t>
  </si>
  <si>
    <t>24-012</t>
  </si>
  <si>
    <t>44.000004</t>
  </si>
  <si>
    <t>Lichtleiter Empfänger HRE (Light Pipe Receiver HRE)</t>
  </si>
  <si>
    <t>SKS AG - Kunststoffe &amp; Werkzeugbau</t>
  </si>
  <si>
    <t xml:space="preserve">Trenngrat auf der Querverstrebung bei der Kavität 2 </t>
  </si>
  <si>
    <t>250k</t>
  </si>
  <si>
    <t>24-013</t>
  </si>
  <si>
    <t>use as is</t>
  </si>
  <si>
    <t>24-014</t>
  </si>
  <si>
    <t>Stack Cover Lydia</t>
  </si>
  <si>
    <t>Modification Insert M2</t>
  </si>
  <si>
    <t>24-015</t>
  </si>
  <si>
    <t>53.000001</t>
  </si>
  <si>
    <t>Lydia Lower Frame M1</t>
  </si>
  <si>
    <t>Wear on subinsert cavity 4</t>
  </si>
  <si>
    <t>NA</t>
  </si>
  <si>
    <t>24-016</t>
  </si>
  <si>
    <t>2SE80 &amp; 2SE1H</t>
  </si>
  <si>
    <t>Sonico EDGE DN80, DN100, DN150</t>
  </si>
  <si>
    <t>6 pcs 2SEXY to be delivered in advanced to AEC</t>
  </si>
  <si>
    <t>30.06.2024</t>
  </si>
  <si>
    <t>24-017</t>
  </si>
  <si>
    <t>Lydia Stack Cover M2</t>
  </si>
  <si>
    <t>Tool repair for dimension 36</t>
  </si>
  <si>
    <t>24-018</t>
  </si>
  <si>
    <t>53.000050 /53.000051</t>
  </si>
  <si>
    <t>Lydia Light Pipes</t>
  </si>
  <si>
    <t>Use Lydia Light Pipes for 44.xxxxxxx Encoders</t>
  </si>
  <si>
    <t>Tool repair 44.xxxxxx Light pipes</t>
  </si>
  <si>
    <t>24-019</t>
  </si>
  <si>
    <t>KR30</t>
  </si>
  <si>
    <t>RCM</t>
  </si>
  <si>
    <t>GWF</t>
  </si>
  <si>
    <t>Umprogrammierung auf den GWF-Standard-Key</t>
  </si>
  <si>
    <t>Umprogrammierung</t>
  </si>
  <si>
    <t>150 Stück</t>
  </si>
  <si>
    <t>24-020</t>
  </si>
  <si>
    <t>Cav# 4 having minor flashing</t>
  </si>
  <si>
    <t>Rework</t>
  </si>
  <si>
    <t>31.09.2024</t>
  </si>
  <si>
    <t>24-021</t>
  </si>
  <si>
    <t>44.000005</t>
  </si>
  <si>
    <t>HRE Lichtleiter Emitter</t>
  </si>
  <si>
    <t>?</t>
  </si>
  <si>
    <t>The light values of the light pipe from cavity 2 fail at SKS but the same light pipe pas at Wisiontool. The light measuring dvices are different at both suppliers.</t>
  </si>
  <si>
    <t>Escatec will check 300 light pipes cavuty 2 at OCD in production. Change the light measuruîng deveices so they show the same resuklts.</t>
  </si>
  <si>
    <t>24-022</t>
  </si>
  <si>
    <t>Projekt</t>
  </si>
  <si>
    <t>2124.00111</t>
  </si>
  <si>
    <t>Q-Eye PSC Transmitter Multisensor System, DC, 4G</t>
  </si>
  <si>
    <t>Vorserienfreigabe SO00000878 (PCP Multisensorsystem)</t>
  </si>
  <si>
    <t>Handbuch fertigstellen, Serienfreigabe durchführen</t>
  </si>
  <si>
    <t>1 Stück</t>
  </si>
  <si>
    <t>24-023</t>
  </si>
  <si>
    <t>HRE Light pipes Emitter</t>
  </si>
  <si>
    <t>Production on a different machine which is still not released</t>
  </si>
  <si>
    <t>Release of machine for light pipes production</t>
  </si>
  <si>
    <t>24-024</t>
  </si>
  <si>
    <t>2120.00001</t>
  </si>
  <si>
    <t>EDGE 4-20mA module</t>
  </si>
  <si>
    <t>Papermill has EMC issues with current modul. New modul will solve it.</t>
  </si>
  <si>
    <t>Pre-Series release of OMEGA module</t>
  </si>
  <si>
    <t>24-025</t>
  </si>
  <si>
    <t>2SE80 &amp; 2SE1H &amp; 2SE1F</t>
  </si>
  <si>
    <t>Several EDGE DN's with modules</t>
  </si>
  <si>
    <t>OMEGA release has been delayed several time. Delivery to AEC is overdue and therefore we need a conditional release</t>
  </si>
  <si>
    <t>Pre-Series release of OMEGA modules and EDGE FW version</t>
  </si>
  <si>
    <t>24-026</t>
  </si>
  <si>
    <t>44.000027</t>
  </si>
  <si>
    <t>TRANSPARENT CAP IP67</t>
  </si>
  <si>
    <t xml:space="preserve">Burr and flow mark near gating area </t>
  </si>
  <si>
    <t>tool repair</t>
  </si>
  <si>
    <t>24-027</t>
  </si>
  <si>
    <t>Vorserie</t>
  </si>
  <si>
    <t>E132.00064</t>
  </si>
  <si>
    <t>AM550-G2 Haushalts-/Etagenzähler</t>
  </si>
  <si>
    <t>Iskraemeco</t>
  </si>
  <si>
    <t>Vorrichtung nicht geeignet</t>
  </si>
  <si>
    <t>für 1'000 Stück use as is anschliessen tool repair</t>
  </si>
  <si>
    <t>1'000</t>
  </si>
  <si>
    <t>24-028</t>
  </si>
  <si>
    <t>HRE Light Shield M3</t>
  </si>
  <si>
    <t>Insert broken at cavity 23</t>
  </si>
  <si>
    <t>24-029</t>
  </si>
  <si>
    <t>Cav# 4 having minor flashing / 2nd QN to extend QN24-020</t>
  </si>
  <si>
    <t>24-030</t>
  </si>
  <si>
    <t>Unico Ringmagnet (Umbau MT-Ringmagnet)</t>
  </si>
  <si>
    <t>Schramberg</t>
  </si>
  <si>
    <t>Rework of MT-Ringmagnet to Unico-Ringmagnet</t>
  </si>
  <si>
    <t>24-031</t>
  </si>
  <si>
    <t>24-032</t>
  </si>
  <si>
    <t>24-033</t>
  </si>
  <si>
    <t>24-034</t>
  </si>
  <si>
    <t>24-035</t>
  </si>
  <si>
    <t>32.0048</t>
  </si>
  <si>
    <t>Q-Eye Radar RV11 NOVO AC with Wi-Fi</t>
  </si>
  <si>
    <t>Until bug is fixed, all affected product groups will be blocked and can only be delivered under special release</t>
  </si>
  <si>
    <t>Software update</t>
  </si>
  <si>
    <t>24-036</t>
  </si>
  <si>
    <t>32.0049</t>
  </si>
  <si>
    <t>Q-Eye Radar RV11 NOVO DC with 4G Modem</t>
  </si>
  <si>
    <t>24-037</t>
  </si>
  <si>
    <t>2SE80</t>
  </si>
  <si>
    <t>Sonico Edge DN80 200mm</t>
  </si>
  <si>
    <t>Muster für NSF Zulassung - Flachdichtung</t>
  </si>
  <si>
    <t>keine</t>
  </si>
  <si>
    <t>AME</t>
  </si>
  <si>
    <t>24-038</t>
  </si>
  <si>
    <t>02.000343</t>
  </si>
  <si>
    <t>Sapphir</t>
  </si>
  <si>
    <t>Grillardi</t>
  </si>
  <si>
    <t>Höhe telweise ausser Toleranz</t>
  </si>
  <si>
    <t>30'000</t>
  </si>
  <si>
    <t>PHU</t>
  </si>
  <si>
    <t>24-039</t>
  </si>
  <si>
    <t>24-040</t>
  </si>
  <si>
    <t>Ultraschall-Wandler FT-L, LP (55°), M (503, 302, 101)
Ultraschall-Wandler FT-L, LP (55°), 515
Ultraschall-Wandler FT-L, LP (55°), 524</t>
  </si>
  <si>
    <t>Process reliability not given -&gt; article is blocked</t>
  </si>
  <si>
    <t>Renewed series release to production</t>
  </si>
  <si>
    <t>212L.00015</t>
  </si>
  <si>
    <t>Ultraschall-Wandler FT-L, LP (45°), 212</t>
  </si>
  <si>
    <t>4
8
8</t>
  </si>
  <si>
    <t>212L.00035
212L.00040
212L.00041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</si>
</sst>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2"/>
      <name val="Arial"/>
      <family val="2"/>
    </font>
    <font>
      <b/>
      <sz val="11"/>
      <color theme="1"/>
      <name val="Calibri"/>
      <family val="2"/>
      <scheme val="minor"/>
    </font>
    <font>
      <b/>
      <sz val="18"/>
      <color theme="0"/>
      <name val="Arial Narrow"/>
      <family val="2"/>
    </font>
    <font>
      <b/>
      <sz val="12"/>
      <color theme="0"/>
      <name val="Arial Narrow"/>
      <family val="2"/>
    </font>
    <font>
      <sz val="12"/>
      <color theme="0"/>
      <name val="Arial Narrow"/>
      <family val="2"/>
    </font>
    <font>
      <sz val="12"/>
      <color theme="1"/>
      <name val="Arial Narrow"/>
      <family val="2"/>
    </font>
    <font>
      <sz val="8"/>
      <name val="Calibri"/>
      <family val="2"/>
      <scheme val="minor"/>
    </font>
    <font>
      <sz val="11"/>
      <color theme="1"/>
      <name val="Arial Narrow"/>
      <family val="2"/>
    </font>
    <font>
      <strike/>
      <sz val="11"/>
      <color theme="1"/>
      <name val="Calibri"/>
      <family val="2"/>
      <scheme val="minor"/>
    </font>
    <font>
      <strike/>
      <sz val="12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-0.49998474074526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theme="0" tint="-0.249977111117893"/>
      </left>
      <right style="medium">
        <color indexed="64"/>
      </right>
      <top style="medium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3" fillId="0" borderId="0"/>
  </cellStyleXfs>
  <cellXfs count="60">
    <xf numFmtId="0" fontId="0" fillId="0" borderId="0" xfId="0"/>
    <xf numFmtId="0" fontId="0" fillId="2" borderId="0" xfId="0" applyFill="1" applyAlignment="1">
      <alignment wrapText="1"/>
    </xf>
    <xf numFmtId="0" fontId="0" fillId="2" borderId="0" xfId="0" applyFill="1"/>
    <xf numFmtId="9" fontId="0" fillId="2" borderId="0" xfId="1" applyFont="1" applyFill="1"/>
    <xf numFmtId="0" fontId="0" fillId="0" borderId="0" xfId="0" applyAlignment="1">
      <alignment wrapText="1"/>
    </xf>
    <xf numFmtId="9" fontId="0" fillId="0" borderId="0" xfId="1" applyFont="1"/>
    <xf numFmtId="0" fontId="4" fillId="2" borderId="0" xfId="0" applyFont="1" applyFill="1"/>
    <xf numFmtId="0" fontId="0" fillId="2" borderId="0" xfId="0" applyFill="1" applyAlignment="1">
      <alignment horizontal="left"/>
    </xf>
    <xf numFmtId="0" fontId="4" fillId="0" borderId="0" xfId="0" applyFont="1"/>
    <xf numFmtId="0" fontId="0" fillId="0" borderId="0" xfId="0" applyAlignment="1">
      <alignment horizontal="left"/>
    </xf>
    <xf numFmtId="0" fontId="5" fillId="4" borderId="2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right" vertical="center"/>
    </xf>
    <xf numFmtId="14" fontId="7" fillId="4" borderId="4" xfId="0" applyNumberFormat="1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top" wrapText="1"/>
    </xf>
    <xf numFmtId="0" fontId="6" fillId="3" borderId="7" xfId="0" applyFont="1" applyFill="1" applyBorder="1" applyAlignment="1">
      <alignment horizontal="center" vertical="top" wrapText="1"/>
    </xf>
    <xf numFmtId="0" fontId="6" fillId="3" borderId="5" xfId="0" applyFont="1" applyFill="1" applyBorder="1" applyAlignment="1">
      <alignment horizontal="center" vertical="top" wrapText="1"/>
    </xf>
    <xf numFmtId="0" fontId="6" fillId="3" borderId="8" xfId="0" applyFont="1" applyFill="1" applyBorder="1" applyAlignment="1">
      <alignment horizontal="center" vertical="top" wrapText="1"/>
    </xf>
    <xf numFmtId="0" fontId="8" fillId="2" borderId="3" xfId="0" applyFont="1" applyFill="1" applyBorder="1" applyAlignment="1">
      <alignment vertical="top"/>
    </xf>
    <xf numFmtId="0" fontId="8" fillId="0" borderId="0" xfId="0" applyFont="1" applyAlignment="1">
      <alignment horizontal="left" vertical="top"/>
    </xf>
    <xf numFmtId="0" fontId="8" fillId="0" borderId="0" xfId="0" applyFont="1" applyAlignment="1">
      <alignment horizontal="left" vertical="top" wrapText="1"/>
    </xf>
    <xf numFmtId="49" fontId="8" fillId="0" borderId="0" xfId="0" applyNumberFormat="1" applyFont="1" applyAlignment="1">
      <alignment horizontal="left" vertical="top" wrapText="1"/>
    </xf>
    <xf numFmtId="0" fontId="8" fillId="2" borderId="0" xfId="0" applyFont="1" applyFill="1"/>
    <xf numFmtId="0" fontId="8" fillId="0" borderId="0" xfId="0" applyFont="1"/>
    <xf numFmtId="49" fontId="8" fillId="0" borderId="0" xfId="0" applyNumberFormat="1" applyFont="1"/>
    <xf numFmtId="0" fontId="8" fillId="0" borderId="0" xfId="0" applyFont="1" applyAlignment="1">
      <alignment horizontal="left"/>
    </xf>
    <xf numFmtId="9" fontId="8" fillId="0" borderId="0" xfId="1" applyFont="1"/>
    <xf numFmtId="0" fontId="10" fillId="0" borderId="0" xfId="0" applyFont="1" applyAlignment="1">
      <alignment horizontal="left"/>
    </xf>
    <xf numFmtId="0" fontId="8" fillId="0" borderId="0" xfId="0" applyFont="1" applyAlignment="1">
      <alignment horizontal="left" wrapText="1"/>
    </xf>
    <xf numFmtId="9" fontId="8" fillId="0" borderId="0" xfId="1" applyFont="1" applyAlignment="1">
      <alignment horizontal="left"/>
    </xf>
    <xf numFmtId="9" fontId="10" fillId="0" borderId="0" xfId="1" applyFont="1" applyAlignment="1">
      <alignment horizontal="left"/>
    </xf>
    <xf numFmtId="9" fontId="0" fillId="0" borderId="0" xfId="1" applyFont="1" applyAlignment="1">
      <alignment horizontal="left"/>
    </xf>
    <xf numFmtId="49" fontId="8" fillId="0" borderId="0" xfId="0" applyNumberFormat="1" applyFont="1" applyAlignment="1">
      <alignment horizontal="left"/>
    </xf>
    <xf numFmtId="49" fontId="4" fillId="2" borderId="0" xfId="0" applyNumberFormat="1" applyFont="1" applyFill="1"/>
    <xf numFmtId="49" fontId="6" fillId="3" borderId="5" xfId="0" applyNumberFormat="1" applyFont="1" applyFill="1" applyBorder="1" applyAlignment="1">
      <alignment horizontal="center" vertical="top" wrapText="1"/>
    </xf>
    <xf numFmtId="49" fontId="4" fillId="0" borderId="0" xfId="0" applyNumberFormat="1" applyFont="1"/>
    <xf numFmtId="14" fontId="8" fillId="0" borderId="0" xfId="0" applyNumberFormat="1" applyFont="1" applyAlignment="1">
      <alignment horizontal="left"/>
    </xf>
    <xf numFmtId="49" fontId="8" fillId="0" borderId="0" xfId="0" applyNumberFormat="1" applyFont="1" applyAlignment="1">
      <alignment horizontal="left" wrapText="1"/>
    </xf>
    <xf numFmtId="0" fontId="10" fillId="0" borderId="0" xfId="0" applyFont="1" applyAlignment="1">
      <alignment horizontal="left" wrapText="1"/>
    </xf>
    <xf numFmtId="0" fontId="10" fillId="0" borderId="0" xfId="0" applyFont="1" applyAlignment="1">
      <alignment vertical="center"/>
    </xf>
    <xf numFmtId="0" fontId="11" fillId="2" borderId="0" xfId="0" applyFont="1" applyFill="1"/>
    <xf numFmtId="0" fontId="12" fillId="2" borderId="3" xfId="0" applyFont="1" applyFill="1" applyBorder="1" applyAlignment="1">
      <alignment vertical="top"/>
    </xf>
    <xf numFmtId="0" fontId="12" fillId="0" borderId="0" xfId="0" applyFont="1" applyAlignment="1">
      <alignment horizontal="left"/>
    </xf>
    <xf numFmtId="49" fontId="12" fillId="0" borderId="0" xfId="0" applyNumberFormat="1" applyFont="1" applyAlignment="1">
      <alignment horizontal="left"/>
    </xf>
    <xf numFmtId="0" fontId="12" fillId="0" borderId="0" xfId="0" applyFont="1" applyAlignment="1">
      <alignment horizontal="left" wrapText="1"/>
    </xf>
    <xf numFmtId="0" fontId="12" fillId="0" borderId="0" xfId="0" applyFont="1" applyAlignment="1">
      <alignment horizontal="left" vertical="top" wrapText="1"/>
    </xf>
    <xf numFmtId="0" fontId="12" fillId="0" borderId="0" xfId="0" applyFont="1"/>
    <xf numFmtId="0" fontId="11" fillId="0" borderId="0" xfId="0" applyFont="1"/>
    <xf numFmtId="9" fontId="11" fillId="0" borderId="0" xfId="1" applyFont="1"/>
    <xf numFmtId="9" fontId="12" fillId="0" borderId="0" xfId="1" applyFont="1" applyAlignment="1">
      <alignment horizontal="left"/>
    </xf>
    <xf numFmtId="14" fontId="11" fillId="0" borderId="0" xfId="0" applyNumberFormat="1" applyFont="1" applyAlignment="1">
      <alignment horizontal="left"/>
    </xf>
    <xf numFmtId="14" fontId="0" fillId="0" borderId="0" xfId="0" applyNumberFormat="1" applyAlignment="1">
      <alignment horizontal="left"/>
    </xf>
    <xf numFmtId="49" fontId="0" fillId="0" borderId="0" xfId="0" applyNumberFormat="1"/>
    <xf numFmtId="49" fontId="0" fillId="0" borderId="0" xfId="0" applyNumberFormat="1" applyAlignment="1">
      <alignment wrapText="1"/>
    </xf>
    <xf numFmtId="0" fontId="8" fillId="2" borderId="3" xfId="0" applyFont="1" applyFill="1" applyBorder="1"/>
    <xf numFmtId="9" fontId="1" fillId="0" borderId="0" xfId="1" applyFont="1" applyAlignment="1"/>
    <xf numFmtId="0" fontId="10" fillId="0" borderId="0" xfId="0" applyFont="1"/>
    <xf numFmtId="0" fontId="8" fillId="2" borderId="3" xfId="0" applyFont="1" applyFill="1" applyBorder="1" applyAlignment="1">
      <alignment vertical="center"/>
    </xf>
    <xf numFmtId="17" fontId="8" fillId="0" borderId="0" xfId="0" applyNumberFormat="1" applyFont="1" applyAlignment="1">
      <alignment horizontal="left"/>
    </xf>
    <xf numFmtId="0" fontId="5" fillId="4" borderId="1" xfId="0" applyFont="1" applyFill="1" applyBorder="1" applyAlignment="1">
      <alignment vertical="center"/>
    </xf>
    <xf numFmtId="0" fontId="5" fillId="4" borderId="2" xfId="0" applyFont="1" applyFill="1" applyBorder="1" applyAlignment="1">
      <alignment vertical="center"/>
    </xf>
  </cellXfs>
  <cellStyles count="5">
    <cellStyle name="Prozent" xfId="1" builtinId="5"/>
    <cellStyle name="Prozent 2" xfId="3" xr:uid="{00000000-0005-0000-0000-000002000000}"/>
    <cellStyle name="Standard" xfId="0" builtinId="0"/>
    <cellStyle name="Standard 2" xfId="2" xr:uid="{00000000-0005-0000-0000-000004000000}"/>
    <cellStyle name="Standard 3" xfId="4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J98"/>
  <sheetViews>
    <sheetView tabSelected="1" zoomScaleNormal="100" workbookViewId="0">
      <pane xSplit="1" ySplit="3" topLeftCell="B26" activePane="bottomRight" state="frozen"/>
      <selection pane="topRight" activeCell="B1" sqref="B1"/>
      <selection pane="bottomLeft" activeCell="A4" sqref="A4"/>
      <selection pane="bottomRight" activeCell="F33" sqref="F33"/>
    </sheetView>
  </sheetViews>
  <sheetFormatPr baseColWidth="10" defaultColWidth="11.42578125" defaultRowHeight="15" x14ac:dyDescent="0.25"/>
  <cols>
    <col min="1" max="1" width="1.28515625" style="2" customWidth="1"/>
    <col min="2" max="2" width="3.42578125" style="8" customWidth="1"/>
    <col min="3" max="3" width="9.42578125" style="8" customWidth="1"/>
    <col min="4" max="4" width="13.7109375" style="8" customWidth="1"/>
    <col min="5" max="5" width="24.7109375" style="34" customWidth="1"/>
    <col min="6" max="6" width="46" style="8" bestFit="1" customWidth="1"/>
    <col min="7" max="7" width="14.42578125" style="4" customWidth="1"/>
    <col min="8" max="8" width="19.28515625" style="9" customWidth="1"/>
    <col min="9" max="9" width="61.28515625" style="9" customWidth="1"/>
    <col min="10" max="10" width="43" style="9" customWidth="1"/>
    <col min="11" max="11" width="14.5703125" style="9" customWidth="1"/>
    <col min="12" max="12" width="22.28515625" customWidth="1"/>
    <col min="13" max="13" width="15.7109375" customWidth="1"/>
    <col min="14" max="14" width="14.140625" style="5" bestFit="1" customWidth="1"/>
    <col min="15" max="15" width="15.42578125" style="5" customWidth="1"/>
    <col min="16" max="16" width="0.7109375" style="2" customWidth="1"/>
    <col min="17" max="17" width="12.7109375" style="2" bestFit="1" customWidth="1"/>
    <col min="18" max="18" width="3.42578125" style="2" hidden="1" customWidth="1"/>
    <col min="19" max="19" width="12.7109375" style="2" customWidth="1"/>
    <col min="20" max="75" width="11.42578125" style="2"/>
  </cols>
  <sheetData>
    <row r="1" spans="1:114" s="2" customFormat="1" ht="15.75" customHeight="1" thickBot="1" x14ac:dyDescent="0.3">
      <c r="B1" s="6"/>
      <c r="C1" s="6"/>
      <c r="D1" s="6"/>
      <c r="E1" s="32"/>
      <c r="F1" s="6"/>
      <c r="G1" s="1"/>
      <c r="H1" s="7"/>
      <c r="I1" s="7"/>
      <c r="J1" s="7"/>
      <c r="K1" s="7"/>
      <c r="N1" s="3"/>
      <c r="O1" s="3"/>
    </row>
    <row r="2" spans="1:114" ht="61.35" customHeight="1" x14ac:dyDescent="0.25">
      <c r="B2" s="58" t="s">
        <v>0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10"/>
      <c r="N2" s="11"/>
      <c r="O2" s="12">
        <f ca="1">TODAY()</f>
        <v>45665</v>
      </c>
    </row>
    <row r="3" spans="1:114" s="2" customFormat="1" ht="38.65" customHeight="1" x14ac:dyDescent="0.25">
      <c r="B3" s="13"/>
      <c r="C3" s="14" t="s">
        <v>1</v>
      </c>
      <c r="D3" s="14" t="s">
        <v>2</v>
      </c>
      <c r="E3" s="33" t="s">
        <v>3</v>
      </c>
      <c r="F3" s="15" t="s">
        <v>4</v>
      </c>
      <c r="G3" s="15" t="s">
        <v>5</v>
      </c>
      <c r="H3" s="15" t="s">
        <v>6</v>
      </c>
      <c r="I3" s="15" t="s">
        <v>7</v>
      </c>
      <c r="J3" s="15" t="s">
        <v>8</v>
      </c>
      <c r="K3" s="15" t="s">
        <v>9</v>
      </c>
      <c r="L3" s="16" t="s">
        <v>10</v>
      </c>
      <c r="M3" s="16" t="s">
        <v>11</v>
      </c>
      <c r="N3" s="16" t="s">
        <v>12</v>
      </c>
      <c r="O3" s="16" t="s">
        <v>13</v>
      </c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</row>
    <row r="4" spans="1:114" s="2" customFormat="1" ht="15.75" customHeight="1" x14ac:dyDescent="0.25">
      <c r="B4" s="53">
        <f t="shared" ref="B4:B13" si="0">IF(O4="","",IF(O4="offen",0,IF(O4="freigegeben",1.5,2)))</f>
        <v>0</v>
      </c>
      <c r="C4" s="18" t="s">
        <v>14</v>
      </c>
      <c r="D4" s="18" t="s">
        <v>15</v>
      </c>
      <c r="E4" s="20" t="s">
        <v>16</v>
      </c>
      <c r="F4" s="19" t="s">
        <v>17</v>
      </c>
      <c r="G4" s="19">
        <v>1322250</v>
      </c>
      <c r="H4" s="19" t="s">
        <v>18</v>
      </c>
      <c r="I4" s="19" t="s">
        <v>19</v>
      </c>
      <c r="J4" s="19" t="s">
        <v>20</v>
      </c>
      <c r="K4" s="20" t="s">
        <v>21</v>
      </c>
      <c r="L4" s="19" t="s">
        <v>22</v>
      </c>
      <c r="M4" s="19"/>
      <c r="N4" s="25" t="s">
        <v>23</v>
      </c>
      <c r="O4" s="25" t="s">
        <v>23</v>
      </c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</row>
    <row r="5" spans="1:114" ht="15.75" x14ac:dyDescent="0.25">
      <c r="B5" s="53">
        <f t="shared" si="0"/>
        <v>2</v>
      </c>
      <c r="C5" s="18" t="s">
        <v>24</v>
      </c>
      <c r="D5" s="18" t="s">
        <v>15</v>
      </c>
      <c r="E5" s="20" t="s">
        <v>25</v>
      </c>
      <c r="F5" s="19" t="s">
        <v>26</v>
      </c>
      <c r="G5" s="19" t="s">
        <v>27</v>
      </c>
      <c r="H5" s="19" t="s">
        <v>27</v>
      </c>
      <c r="I5" s="19" t="s">
        <v>28</v>
      </c>
      <c r="J5" s="19" t="s">
        <v>29</v>
      </c>
      <c r="K5" s="20" t="s">
        <v>30</v>
      </c>
      <c r="L5" s="19" t="s">
        <v>31</v>
      </c>
      <c r="M5" s="19"/>
      <c r="N5" s="25" t="s">
        <v>32</v>
      </c>
      <c r="O5" s="25" t="s">
        <v>33</v>
      </c>
    </row>
    <row r="6" spans="1:114" ht="15.75" x14ac:dyDescent="0.25">
      <c r="B6" s="53">
        <f t="shared" si="0"/>
        <v>0</v>
      </c>
      <c r="C6" s="18" t="s">
        <v>34</v>
      </c>
      <c r="D6" s="18" t="s">
        <v>15</v>
      </c>
      <c r="E6" s="20" t="s">
        <v>35</v>
      </c>
      <c r="F6" s="19" t="s">
        <v>36</v>
      </c>
      <c r="G6" s="19">
        <v>1322250</v>
      </c>
      <c r="H6" s="19" t="s">
        <v>18</v>
      </c>
      <c r="I6" s="19" t="s">
        <v>37</v>
      </c>
      <c r="J6" s="19" t="s">
        <v>38</v>
      </c>
      <c r="K6" s="20" t="s">
        <v>39</v>
      </c>
      <c r="L6" s="19" t="s">
        <v>22</v>
      </c>
      <c r="M6" s="19"/>
      <c r="N6" s="25" t="s">
        <v>23</v>
      </c>
      <c r="O6" s="25" t="s">
        <v>23</v>
      </c>
    </row>
    <row r="7" spans="1:114" ht="15.75" x14ac:dyDescent="0.25">
      <c r="B7" s="53">
        <f t="shared" si="0"/>
        <v>0</v>
      </c>
      <c r="C7" s="18" t="s">
        <v>40</v>
      </c>
      <c r="D7" s="18" t="s">
        <v>15</v>
      </c>
      <c r="E7" s="20" t="s">
        <v>41</v>
      </c>
      <c r="F7" s="19" t="s">
        <v>42</v>
      </c>
      <c r="G7" s="19">
        <v>1322250</v>
      </c>
      <c r="H7" s="19" t="s">
        <v>18</v>
      </c>
      <c r="I7" s="19" t="s">
        <v>43</v>
      </c>
      <c r="J7" s="19" t="s">
        <v>44</v>
      </c>
      <c r="K7" s="20" t="s">
        <v>21</v>
      </c>
      <c r="L7" s="19" t="s">
        <v>22</v>
      </c>
      <c r="M7" s="19"/>
      <c r="N7" s="25" t="s">
        <v>23</v>
      </c>
      <c r="O7" s="25" t="s">
        <v>23</v>
      </c>
    </row>
    <row r="8" spans="1:114" s="22" customFormat="1" ht="15.75" x14ac:dyDescent="0.25">
      <c r="A8" s="21"/>
      <c r="B8" s="53">
        <f t="shared" si="0"/>
        <v>0</v>
      </c>
      <c r="C8" s="18" t="s">
        <v>45</v>
      </c>
      <c r="D8" s="18" t="s">
        <v>15</v>
      </c>
      <c r="E8" s="23" t="s">
        <v>46</v>
      </c>
      <c r="F8" s="22" t="s">
        <v>47</v>
      </c>
      <c r="G8" s="19">
        <v>100653</v>
      </c>
      <c r="H8" s="19" t="s">
        <v>48</v>
      </c>
      <c r="I8" s="24" t="s">
        <v>49</v>
      </c>
      <c r="J8" s="24" t="s">
        <v>20</v>
      </c>
      <c r="K8" s="24">
        <v>3000</v>
      </c>
      <c r="L8" s="22" t="s">
        <v>50</v>
      </c>
      <c r="N8" s="25" t="s">
        <v>23</v>
      </c>
      <c r="O8" s="25" t="s">
        <v>23</v>
      </c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</row>
    <row r="9" spans="1:114" ht="60" x14ac:dyDescent="0.25">
      <c r="B9" s="53">
        <f t="shared" si="0"/>
        <v>1.5</v>
      </c>
      <c r="C9" s="24" t="s">
        <v>51</v>
      </c>
      <c r="D9" s="24" t="s">
        <v>15</v>
      </c>
      <c r="E9" s="52" t="s">
        <v>52</v>
      </c>
      <c r="F9" t="s">
        <v>53</v>
      </c>
      <c r="G9" s="4" t="s">
        <v>27</v>
      </c>
      <c r="H9" s="27" t="s">
        <v>54</v>
      </c>
      <c r="I9" s="9" t="s">
        <v>55</v>
      </c>
      <c r="J9" s="24" t="s">
        <v>56</v>
      </c>
      <c r="K9" s="36" t="s">
        <v>39</v>
      </c>
      <c r="L9" s="24" t="s">
        <v>57</v>
      </c>
      <c r="M9" s="24"/>
      <c r="N9" s="25" t="s">
        <v>32</v>
      </c>
      <c r="O9" s="25" t="s">
        <v>32</v>
      </c>
    </row>
    <row r="10" spans="1:114" ht="15.75" x14ac:dyDescent="0.25">
      <c r="B10" s="53">
        <f t="shared" si="0"/>
        <v>2</v>
      </c>
      <c r="C10" s="24" t="s">
        <v>58</v>
      </c>
      <c r="D10" s="24" t="s">
        <v>15</v>
      </c>
      <c r="E10" s="52" t="s">
        <v>59</v>
      </c>
      <c r="F10" s="19" t="s">
        <v>60</v>
      </c>
      <c r="G10" s="4" t="s">
        <v>27</v>
      </c>
      <c r="H10" s="27" t="s">
        <v>61</v>
      </c>
      <c r="I10" s="9" t="s">
        <v>62</v>
      </c>
      <c r="J10" s="24" t="s">
        <v>63</v>
      </c>
      <c r="K10" s="36" t="s">
        <v>64</v>
      </c>
      <c r="L10" s="24" t="s">
        <v>65</v>
      </c>
      <c r="M10" s="24"/>
      <c r="N10" s="25" t="s">
        <v>33</v>
      </c>
      <c r="O10" s="25" t="s">
        <v>33</v>
      </c>
    </row>
    <row r="11" spans="1:114" ht="15.75" customHeight="1" x14ac:dyDescent="0.25">
      <c r="B11" s="53">
        <f t="shared" si="0"/>
        <v>2</v>
      </c>
      <c r="C11" s="24" t="s">
        <v>66</v>
      </c>
      <c r="D11" s="24" t="s">
        <v>15</v>
      </c>
      <c r="E11" s="23" t="s">
        <v>67</v>
      </c>
      <c r="F11" s="22" t="s">
        <v>68</v>
      </c>
      <c r="G11" s="4" t="s">
        <v>27</v>
      </c>
      <c r="H11" s="27" t="s">
        <v>54</v>
      </c>
      <c r="I11" s="24" t="s">
        <v>69</v>
      </c>
      <c r="J11" s="24" t="s">
        <v>70</v>
      </c>
      <c r="K11" s="24">
        <v>2</v>
      </c>
      <c r="L11" s="24" t="s">
        <v>57</v>
      </c>
      <c r="M11" s="24"/>
      <c r="N11" s="25" t="s">
        <v>33</v>
      </c>
      <c r="O11" s="25" t="s">
        <v>33</v>
      </c>
    </row>
    <row r="12" spans="1:114" ht="15.75" x14ac:dyDescent="0.25">
      <c r="B12" s="17">
        <f t="shared" si="0"/>
        <v>2</v>
      </c>
      <c r="C12" s="24" t="s">
        <v>71</v>
      </c>
      <c r="D12" s="24" t="s">
        <v>15</v>
      </c>
      <c r="E12" s="31"/>
      <c r="F12" s="24" t="s">
        <v>72</v>
      </c>
      <c r="G12" s="27">
        <v>1322250</v>
      </c>
      <c r="H12" s="24" t="s">
        <v>18</v>
      </c>
      <c r="I12" s="24"/>
      <c r="J12" s="24"/>
      <c r="K12" s="35" t="s">
        <v>21</v>
      </c>
      <c r="L12" s="24" t="s">
        <v>22</v>
      </c>
      <c r="M12" s="24"/>
      <c r="N12" s="28" t="s">
        <v>32</v>
      </c>
      <c r="O12" s="28" t="s">
        <v>33</v>
      </c>
    </row>
    <row r="13" spans="1:114" ht="16.5" x14ac:dyDescent="0.3">
      <c r="B13" s="17">
        <f t="shared" si="0"/>
        <v>2</v>
      </c>
      <c r="C13" s="24" t="s">
        <v>73</v>
      </c>
      <c r="D13" s="24" t="s">
        <v>15</v>
      </c>
      <c r="E13" s="31" t="s">
        <v>74</v>
      </c>
      <c r="F13" s="24" t="s">
        <v>75</v>
      </c>
      <c r="G13" s="27">
        <v>1322250</v>
      </c>
      <c r="H13" s="24" t="s">
        <v>18</v>
      </c>
      <c r="I13" s="55" t="s">
        <v>76</v>
      </c>
      <c r="J13" s="24" t="s">
        <v>38</v>
      </c>
      <c r="K13" s="24"/>
      <c r="L13" s="24" t="s">
        <v>22</v>
      </c>
      <c r="M13" s="24"/>
      <c r="N13" s="28" t="s">
        <v>32</v>
      </c>
      <c r="O13" s="28" t="s">
        <v>33</v>
      </c>
    </row>
    <row r="14" spans="1:114" ht="15.75" x14ac:dyDescent="0.25">
      <c r="B14" s="17">
        <f>IF(O14="","",IF(O14="offen",0,IF(O14="freigegeben",1.5,2)))</f>
        <v>2</v>
      </c>
      <c r="C14" s="24" t="s">
        <v>77</v>
      </c>
      <c r="D14" s="24" t="s">
        <v>15</v>
      </c>
      <c r="E14" s="31" t="s">
        <v>78</v>
      </c>
      <c r="F14" s="24" t="s">
        <v>79</v>
      </c>
      <c r="G14" s="27" t="s">
        <v>27</v>
      </c>
      <c r="H14" s="24" t="s">
        <v>80</v>
      </c>
      <c r="I14" s="24" t="s">
        <v>81</v>
      </c>
      <c r="J14" s="24" t="s">
        <v>82</v>
      </c>
      <c r="K14" s="24" t="s">
        <v>83</v>
      </c>
      <c r="L14" s="24" t="s">
        <v>31</v>
      </c>
      <c r="M14" s="24"/>
      <c r="N14" s="28" t="s">
        <v>32</v>
      </c>
      <c r="O14" s="28" t="s">
        <v>33</v>
      </c>
    </row>
    <row r="15" spans="1:114" ht="31.5" x14ac:dyDescent="0.25">
      <c r="B15" s="56">
        <f>IF(O15="","",IF(O15="offen",0,IF(O15="freigegeben",1.5,2)))</f>
        <v>2</v>
      </c>
      <c r="C15" s="24" t="s">
        <v>84</v>
      </c>
      <c r="D15" s="24" t="s">
        <v>15</v>
      </c>
      <c r="E15" s="20" t="s">
        <v>85</v>
      </c>
      <c r="F15" s="19" t="s">
        <v>86</v>
      </c>
      <c r="G15" s="19">
        <v>9133820</v>
      </c>
      <c r="H15" s="19" t="s">
        <v>87</v>
      </c>
      <c r="I15" s="19" t="s">
        <v>88</v>
      </c>
      <c r="J15" s="19" t="s">
        <v>20</v>
      </c>
      <c r="K15" s="20" t="s">
        <v>89</v>
      </c>
      <c r="L15" s="19" t="s">
        <v>31</v>
      </c>
      <c r="M15" s="24"/>
      <c r="N15" s="28" t="s">
        <v>32</v>
      </c>
      <c r="O15" s="28" t="s">
        <v>33</v>
      </c>
    </row>
    <row r="16" spans="1:114" ht="15.75" x14ac:dyDescent="0.25">
      <c r="B16" s="17">
        <f>IF(O16="","",IF(O16="offen",0,IF(O16="freigegeben",1.5,2)))</f>
        <v>2</v>
      </c>
      <c r="C16" s="24" t="s">
        <v>90</v>
      </c>
      <c r="D16" s="24" t="s">
        <v>15</v>
      </c>
      <c r="E16" s="31" t="s">
        <v>85</v>
      </c>
      <c r="F16" s="24" t="s">
        <v>86</v>
      </c>
      <c r="G16" s="19">
        <v>1322250</v>
      </c>
      <c r="H16" s="19" t="s">
        <v>18</v>
      </c>
      <c r="I16" s="19" t="s">
        <v>88</v>
      </c>
      <c r="J16" s="24" t="s">
        <v>91</v>
      </c>
      <c r="K16" s="24" t="s">
        <v>89</v>
      </c>
      <c r="L16" s="22" t="s">
        <v>31</v>
      </c>
      <c r="M16" s="24"/>
      <c r="N16" s="28" t="s">
        <v>32</v>
      </c>
      <c r="O16" s="28" t="s">
        <v>33</v>
      </c>
    </row>
    <row r="17" spans="2:15" ht="15.75" x14ac:dyDescent="0.25">
      <c r="B17" s="17">
        <f>IF(O17="","",IF(O17="offen",0,IF(O17="freigegeben",1.5,2)))</f>
        <v>2</v>
      </c>
      <c r="C17" s="24" t="s">
        <v>92</v>
      </c>
      <c r="D17" s="24" t="s">
        <v>15</v>
      </c>
      <c r="E17" s="31" t="s">
        <v>41</v>
      </c>
      <c r="F17" s="24" t="s">
        <v>93</v>
      </c>
      <c r="G17" s="19">
        <v>1322250</v>
      </c>
      <c r="H17" s="19" t="s">
        <v>18</v>
      </c>
      <c r="I17" s="24" t="s">
        <v>94</v>
      </c>
      <c r="J17" s="24" t="s">
        <v>20</v>
      </c>
      <c r="K17" s="24" t="s">
        <v>21</v>
      </c>
      <c r="L17" s="22" t="s">
        <v>31</v>
      </c>
      <c r="M17" s="24"/>
      <c r="N17" s="28" t="s">
        <v>32</v>
      </c>
      <c r="O17" s="28" t="s">
        <v>33</v>
      </c>
    </row>
    <row r="18" spans="2:15" ht="15.75" x14ac:dyDescent="0.25">
      <c r="B18" s="17"/>
      <c r="C18" s="24" t="s">
        <v>95</v>
      </c>
      <c r="D18" s="24" t="s">
        <v>15</v>
      </c>
      <c r="E18" s="31" t="s">
        <v>96</v>
      </c>
      <c r="F18" s="24" t="s">
        <v>97</v>
      </c>
      <c r="G18" s="19">
        <v>1322250</v>
      </c>
      <c r="H18" s="19" t="s">
        <v>18</v>
      </c>
      <c r="I18" s="24" t="s">
        <v>98</v>
      </c>
      <c r="J18" s="24" t="s">
        <v>20</v>
      </c>
      <c r="K18" s="24" t="s">
        <v>99</v>
      </c>
      <c r="L18" s="22" t="s">
        <v>22</v>
      </c>
      <c r="M18" s="24"/>
      <c r="N18" s="28" t="s">
        <v>32</v>
      </c>
      <c r="O18" s="28" t="s">
        <v>33</v>
      </c>
    </row>
    <row r="19" spans="2:15" ht="15.75" x14ac:dyDescent="0.25">
      <c r="B19" s="17">
        <f>IF(O19="","",IF(O19="offen",0,IF(O19="freigegeben",1.5,2)))</f>
        <v>2</v>
      </c>
      <c r="C19" s="24" t="s">
        <v>100</v>
      </c>
      <c r="D19" s="24" t="s">
        <v>15</v>
      </c>
      <c r="E19" s="31" t="s">
        <v>101</v>
      </c>
      <c r="F19" s="24" t="s">
        <v>102</v>
      </c>
      <c r="G19" s="4" t="s">
        <v>27</v>
      </c>
      <c r="H19" s="27" t="s">
        <v>61</v>
      </c>
      <c r="I19" s="9" t="s">
        <v>103</v>
      </c>
      <c r="J19" s="24" t="s">
        <v>63</v>
      </c>
      <c r="K19" s="36" t="s">
        <v>104</v>
      </c>
      <c r="L19" s="24" t="s">
        <v>65</v>
      </c>
      <c r="M19" s="24"/>
      <c r="N19" s="28" t="s">
        <v>32</v>
      </c>
      <c r="O19" s="28" t="s">
        <v>33</v>
      </c>
    </row>
    <row r="20" spans="2:15" ht="15.75" x14ac:dyDescent="0.25">
      <c r="B20" s="17">
        <f>IF(O20="","",IF(O20="offen",0,IF(O20="freigegeben",1.5,2)))</f>
        <v>2</v>
      </c>
      <c r="C20" s="24" t="s">
        <v>105</v>
      </c>
      <c r="D20" s="24" t="s">
        <v>15</v>
      </c>
      <c r="E20" s="31" t="s">
        <v>41</v>
      </c>
      <c r="F20" s="24" t="s">
        <v>106</v>
      </c>
      <c r="G20" s="19">
        <v>1322250</v>
      </c>
      <c r="H20" s="19" t="s">
        <v>18</v>
      </c>
      <c r="I20" s="24" t="s">
        <v>107</v>
      </c>
      <c r="J20" s="24" t="s">
        <v>20</v>
      </c>
      <c r="K20" s="24" t="s">
        <v>21</v>
      </c>
      <c r="L20" s="22" t="s">
        <v>22</v>
      </c>
      <c r="M20" s="24"/>
      <c r="N20" s="28" t="s">
        <v>32</v>
      </c>
      <c r="O20" s="28" t="s">
        <v>33</v>
      </c>
    </row>
    <row r="21" spans="2:15" ht="15.75" x14ac:dyDescent="0.25">
      <c r="B21" s="17">
        <f>IF(O21="","",IF(O21="offen",0,IF(O21="freigegeben",1.5,2)))</f>
        <v>2</v>
      </c>
      <c r="C21" s="24" t="s">
        <v>108</v>
      </c>
      <c r="D21" s="24" t="s">
        <v>15</v>
      </c>
      <c r="E21" s="31" t="s">
        <v>109</v>
      </c>
      <c r="F21" s="24" t="s">
        <v>110</v>
      </c>
      <c r="G21" s="19">
        <v>1322250</v>
      </c>
      <c r="H21" s="19" t="s">
        <v>18</v>
      </c>
      <c r="I21" s="24" t="s">
        <v>111</v>
      </c>
      <c r="J21" s="24" t="s">
        <v>112</v>
      </c>
      <c r="K21" s="35">
        <v>45565</v>
      </c>
      <c r="L21" s="22" t="s">
        <v>22</v>
      </c>
      <c r="M21" s="24"/>
      <c r="N21" s="28" t="s">
        <v>32</v>
      </c>
      <c r="O21" s="28" t="s">
        <v>33</v>
      </c>
    </row>
    <row r="22" spans="2:15" ht="15.75" x14ac:dyDescent="0.25">
      <c r="B22" s="17">
        <f>IF(O22="","",IF(O22="offen",0,IF(O22="freigegeben",1.5,2)))</f>
        <v>2</v>
      </c>
      <c r="C22" s="24" t="s">
        <v>113</v>
      </c>
      <c r="D22" s="24" t="s">
        <v>15</v>
      </c>
      <c r="E22" s="31" t="s">
        <v>114</v>
      </c>
      <c r="F22" s="24" t="s">
        <v>115</v>
      </c>
      <c r="G22" s="19" t="s">
        <v>27</v>
      </c>
      <c r="H22" s="19" t="s">
        <v>116</v>
      </c>
      <c r="I22" s="24" t="s">
        <v>117</v>
      </c>
      <c r="J22" s="24" t="s">
        <v>118</v>
      </c>
      <c r="K22" s="24" t="s">
        <v>119</v>
      </c>
      <c r="L22" s="22" t="s">
        <v>31</v>
      </c>
      <c r="M22" s="24"/>
      <c r="N22" s="28" t="s">
        <v>33</v>
      </c>
      <c r="O22" s="28" t="s">
        <v>33</v>
      </c>
    </row>
    <row r="23" spans="2:15" ht="15.75" x14ac:dyDescent="0.25">
      <c r="B23" s="17">
        <f>IF(O23="","",IF(O23="offen",0,IF(O23="freigegeben",1.5,2)))</f>
        <v>2</v>
      </c>
      <c r="C23" s="24" t="s">
        <v>120</v>
      </c>
      <c r="D23" s="24" t="s">
        <v>15</v>
      </c>
      <c r="E23" s="31" t="s">
        <v>41</v>
      </c>
      <c r="F23" s="24" t="s">
        <v>93</v>
      </c>
      <c r="G23" s="27">
        <v>1322250</v>
      </c>
      <c r="H23" s="24" t="s">
        <v>18</v>
      </c>
      <c r="I23" s="22" t="s">
        <v>121</v>
      </c>
      <c r="J23" s="24" t="s">
        <v>122</v>
      </c>
      <c r="K23" s="24" t="s">
        <v>123</v>
      </c>
      <c r="L23" s="24" t="s">
        <v>31</v>
      </c>
      <c r="M23" s="24"/>
      <c r="N23" s="28" t="s">
        <v>32</v>
      </c>
      <c r="O23" s="28" t="s">
        <v>33</v>
      </c>
    </row>
    <row r="24" spans="2:15" ht="47.25" x14ac:dyDescent="0.25">
      <c r="B24" s="17">
        <f t="shared" ref="B24:B26" si="1">IF(O24="","",IF(O24="offen",0,IF(O24="freigegeben",1.5,2)))</f>
        <v>2</v>
      </c>
      <c r="C24" s="24" t="s">
        <v>124</v>
      </c>
      <c r="D24" s="24" t="s">
        <v>15</v>
      </c>
      <c r="E24" s="31" t="s">
        <v>125</v>
      </c>
      <c r="F24" s="24" t="s">
        <v>126</v>
      </c>
      <c r="G24" s="19" t="s">
        <v>127</v>
      </c>
      <c r="H24" s="19" t="s">
        <v>87</v>
      </c>
      <c r="I24" s="27" t="s">
        <v>128</v>
      </c>
      <c r="J24" s="27" t="s">
        <v>129</v>
      </c>
      <c r="K24" s="35">
        <v>45596</v>
      </c>
      <c r="L24" s="22" t="s">
        <v>22</v>
      </c>
      <c r="M24" s="24"/>
      <c r="N24" s="28" t="s">
        <v>32</v>
      </c>
      <c r="O24" s="28" t="s">
        <v>33</v>
      </c>
    </row>
    <row r="25" spans="2:15" ht="15.75" x14ac:dyDescent="0.25">
      <c r="B25" s="17">
        <f t="shared" si="1"/>
        <v>2</v>
      </c>
      <c r="C25" s="24" t="s">
        <v>130</v>
      </c>
      <c r="D25" s="24" t="s">
        <v>131</v>
      </c>
      <c r="E25" s="31" t="s">
        <v>132</v>
      </c>
      <c r="F25" s="24" t="s">
        <v>133</v>
      </c>
      <c r="G25" s="19" t="s">
        <v>27</v>
      </c>
      <c r="H25" s="27" t="s">
        <v>54</v>
      </c>
      <c r="I25" s="24" t="s">
        <v>134</v>
      </c>
      <c r="J25" s="24" t="s">
        <v>135</v>
      </c>
      <c r="K25" s="24" t="s">
        <v>136</v>
      </c>
      <c r="L25" s="22" t="s">
        <v>57</v>
      </c>
      <c r="M25" s="24"/>
      <c r="N25" s="28" t="s">
        <v>33</v>
      </c>
      <c r="O25" s="28" t="s">
        <v>33</v>
      </c>
    </row>
    <row r="26" spans="2:15" ht="31.5" x14ac:dyDescent="0.25">
      <c r="B26" s="17">
        <f t="shared" si="1"/>
        <v>0</v>
      </c>
      <c r="C26" s="24" t="s">
        <v>137</v>
      </c>
      <c r="D26" s="24" t="s">
        <v>15</v>
      </c>
      <c r="E26" s="31" t="s">
        <v>125</v>
      </c>
      <c r="F26" s="24" t="s">
        <v>138</v>
      </c>
      <c r="G26" s="27" t="s">
        <v>127</v>
      </c>
      <c r="H26" s="19" t="s">
        <v>87</v>
      </c>
      <c r="I26" s="24" t="s">
        <v>139</v>
      </c>
      <c r="J26" s="24" t="s">
        <v>140</v>
      </c>
      <c r="K26" s="35">
        <v>45596</v>
      </c>
      <c r="L26" s="24" t="s">
        <v>22</v>
      </c>
      <c r="M26" s="24"/>
      <c r="N26" s="28" t="s">
        <v>32</v>
      </c>
      <c r="O26" s="28" t="s">
        <v>23</v>
      </c>
    </row>
    <row r="27" spans="2:15" ht="15.75" x14ac:dyDescent="0.25">
      <c r="B27" s="17">
        <f>IF(O27="","",IF(O27="offen",0,IF(O27="freigegeben",1.5,2)))</f>
        <v>2</v>
      </c>
      <c r="C27" s="24" t="s">
        <v>141</v>
      </c>
      <c r="D27" s="24" t="s">
        <v>15</v>
      </c>
      <c r="E27" s="31" t="s">
        <v>142</v>
      </c>
      <c r="F27" s="57" t="s">
        <v>143</v>
      </c>
      <c r="G27" s="27" t="s">
        <v>27</v>
      </c>
      <c r="H27" s="19" t="s">
        <v>116</v>
      </c>
      <c r="I27" s="24" t="s">
        <v>144</v>
      </c>
      <c r="J27" s="24" t="s">
        <v>145</v>
      </c>
      <c r="K27" s="35">
        <v>45514</v>
      </c>
      <c r="L27" s="24" t="s">
        <v>65</v>
      </c>
      <c r="M27" s="24"/>
      <c r="N27" s="28" t="s">
        <v>32</v>
      </c>
      <c r="O27" s="28" t="s">
        <v>33</v>
      </c>
    </row>
    <row r="28" spans="2:15" ht="35.25" customHeight="1" x14ac:dyDescent="0.25">
      <c r="B28" s="17">
        <f>IF(O28="","",IF(O28="offen",0,IF(O28="freigegeben",1.5,2)))</f>
        <v>2</v>
      </c>
      <c r="C28" s="24" t="s">
        <v>146</v>
      </c>
      <c r="D28" s="24" t="s">
        <v>15</v>
      </c>
      <c r="E28" s="31" t="s">
        <v>147</v>
      </c>
      <c r="F28" s="57" t="s">
        <v>148</v>
      </c>
      <c r="G28" s="27" t="s">
        <v>27</v>
      </c>
      <c r="H28" s="19" t="s">
        <v>116</v>
      </c>
      <c r="I28" s="27" t="s">
        <v>149</v>
      </c>
      <c r="J28" s="24" t="s">
        <v>150</v>
      </c>
      <c r="K28" s="35">
        <v>45519</v>
      </c>
      <c r="L28" s="24" t="s">
        <v>65</v>
      </c>
      <c r="M28" s="24"/>
      <c r="N28" s="28" t="s">
        <v>33</v>
      </c>
      <c r="O28" s="28" t="s">
        <v>33</v>
      </c>
    </row>
    <row r="29" spans="2:15" ht="15.75" x14ac:dyDescent="0.25">
      <c r="B29" s="17">
        <f>IF(O29="","",IF(O29="offen",0,IF(O29="freigegeben",1.5,2)))</f>
        <v>2</v>
      </c>
      <c r="C29" s="24" t="s">
        <v>151</v>
      </c>
      <c r="D29" s="24" t="s">
        <v>15</v>
      </c>
      <c r="E29" s="31" t="s">
        <v>152</v>
      </c>
      <c r="F29" s="24" t="s">
        <v>153</v>
      </c>
      <c r="G29" s="19">
        <v>1322250</v>
      </c>
      <c r="H29" s="19" t="s">
        <v>18</v>
      </c>
      <c r="I29" s="24" t="s">
        <v>154</v>
      </c>
      <c r="J29" s="24" t="s">
        <v>155</v>
      </c>
      <c r="K29" s="35">
        <v>45524</v>
      </c>
      <c r="L29" s="22" t="s">
        <v>31</v>
      </c>
      <c r="M29" s="24"/>
      <c r="N29" s="28" t="s">
        <v>32</v>
      </c>
      <c r="O29" s="28" t="s">
        <v>33</v>
      </c>
    </row>
    <row r="30" spans="2:15" ht="15.75" x14ac:dyDescent="0.25">
      <c r="B30" s="17">
        <f>IF(O30="","",IF(O30="offen",0,IF(O30="freigegeben",1.5,2)))</f>
        <v>0</v>
      </c>
      <c r="C30" s="24" t="s">
        <v>156</v>
      </c>
      <c r="D30" s="24" t="s">
        <v>157</v>
      </c>
      <c r="E30" s="31" t="s">
        <v>158</v>
      </c>
      <c r="F30" s="24" t="s">
        <v>159</v>
      </c>
      <c r="G30" s="27">
        <v>3133101</v>
      </c>
      <c r="H30" s="19" t="s">
        <v>160</v>
      </c>
      <c r="I30" s="24" t="s">
        <v>161</v>
      </c>
      <c r="J30" s="24" t="s">
        <v>162</v>
      </c>
      <c r="K30" s="24" t="s">
        <v>163</v>
      </c>
      <c r="L30" s="22" t="s">
        <v>31</v>
      </c>
      <c r="M30" s="24"/>
      <c r="N30" s="28" t="s">
        <v>32</v>
      </c>
      <c r="O30" s="28" t="s">
        <v>23</v>
      </c>
    </row>
    <row r="31" spans="2:15" ht="15.75" x14ac:dyDescent="0.25">
      <c r="B31" s="17" t="str">
        <f t="shared" ref="B31:B43" si="2">IF(O31="","",IF(O31="offen",0,IF(O31="freigegeben",1.5,2)))</f>
        <v/>
      </c>
      <c r="C31" s="24" t="s">
        <v>164</v>
      </c>
      <c r="D31" s="24" t="s">
        <v>15</v>
      </c>
      <c r="E31" s="31" t="s">
        <v>16</v>
      </c>
      <c r="F31" s="24" t="s">
        <v>165</v>
      </c>
      <c r="G31" s="27">
        <v>1322250</v>
      </c>
      <c r="H31" s="19" t="s">
        <v>18</v>
      </c>
      <c r="I31" s="24" t="s">
        <v>166</v>
      </c>
      <c r="J31" s="24"/>
      <c r="K31" s="24"/>
      <c r="L31" s="22"/>
      <c r="M31" s="24"/>
      <c r="N31" s="28"/>
      <c r="O31" s="28"/>
    </row>
    <row r="32" spans="2:15" ht="15.75" x14ac:dyDescent="0.25">
      <c r="B32" s="17">
        <f t="shared" si="2"/>
        <v>0</v>
      </c>
      <c r="C32" s="24" t="s">
        <v>167</v>
      </c>
      <c r="D32" s="24" t="s">
        <v>15</v>
      </c>
      <c r="E32" s="31" t="s">
        <v>41</v>
      </c>
      <c r="F32" s="24" t="s">
        <v>93</v>
      </c>
      <c r="G32" s="27">
        <v>1322250</v>
      </c>
      <c r="H32" s="24" t="s">
        <v>18</v>
      </c>
      <c r="I32" s="22" t="s">
        <v>168</v>
      </c>
      <c r="J32" s="24" t="s">
        <v>122</v>
      </c>
      <c r="K32" s="35">
        <v>45657</v>
      </c>
      <c r="L32" s="24" t="s">
        <v>31</v>
      </c>
      <c r="M32" s="24"/>
      <c r="N32" s="28" t="s">
        <v>23</v>
      </c>
      <c r="O32" s="28" t="s">
        <v>23</v>
      </c>
    </row>
    <row r="33" spans="2:15" ht="15.75" x14ac:dyDescent="0.25">
      <c r="B33" s="17">
        <f t="shared" si="2"/>
        <v>0</v>
      </c>
      <c r="C33" s="24" t="s">
        <v>169</v>
      </c>
      <c r="D33" s="24" t="s">
        <v>15</v>
      </c>
      <c r="E33" s="31"/>
      <c r="F33" s="24" t="s">
        <v>170</v>
      </c>
      <c r="G33" s="27"/>
      <c r="H33" s="19" t="s">
        <v>171</v>
      </c>
      <c r="I33" s="24" t="s">
        <v>172</v>
      </c>
      <c r="J33" s="24" t="s">
        <v>122</v>
      </c>
      <c r="K33" s="35">
        <v>45657</v>
      </c>
      <c r="L33" s="22" t="s">
        <v>50</v>
      </c>
      <c r="M33" s="24"/>
      <c r="N33" s="28" t="s">
        <v>32</v>
      </c>
      <c r="O33" s="28" t="s">
        <v>23</v>
      </c>
    </row>
    <row r="34" spans="2:15" ht="31.5" x14ac:dyDescent="0.25">
      <c r="B34" s="17">
        <f t="shared" si="2"/>
        <v>0</v>
      </c>
      <c r="C34" s="24" t="s">
        <v>173</v>
      </c>
      <c r="D34" s="24" t="s">
        <v>15</v>
      </c>
      <c r="E34" s="31" t="s">
        <v>147</v>
      </c>
      <c r="F34" s="57" t="s">
        <v>148</v>
      </c>
      <c r="G34" s="27" t="s">
        <v>27</v>
      </c>
      <c r="H34" s="24" t="s">
        <v>116</v>
      </c>
      <c r="I34" s="27" t="s">
        <v>149</v>
      </c>
      <c r="J34" s="24" t="s">
        <v>150</v>
      </c>
      <c r="K34" s="35">
        <v>45657</v>
      </c>
      <c r="L34" s="24" t="s">
        <v>65</v>
      </c>
      <c r="M34" s="24"/>
      <c r="N34" s="28" t="s">
        <v>23</v>
      </c>
      <c r="O34" s="28" t="s">
        <v>23</v>
      </c>
    </row>
    <row r="35" spans="2:15" ht="15.75" x14ac:dyDescent="0.25">
      <c r="B35" s="17" t="str">
        <f t="shared" si="2"/>
        <v/>
      </c>
      <c r="C35" s="24" t="s">
        <v>174</v>
      </c>
      <c r="D35" s="24"/>
      <c r="E35" s="31"/>
      <c r="F35" s="24"/>
      <c r="G35" s="27"/>
      <c r="H35" s="19"/>
      <c r="I35" s="24"/>
      <c r="J35" s="24"/>
      <c r="K35" s="24"/>
      <c r="L35" s="22"/>
      <c r="M35" s="24"/>
      <c r="N35" s="28"/>
      <c r="O35" s="28"/>
    </row>
    <row r="36" spans="2:15" ht="15.75" x14ac:dyDescent="0.25">
      <c r="B36" s="17" t="str">
        <f t="shared" si="2"/>
        <v/>
      </c>
      <c r="C36" s="24" t="s">
        <v>175</v>
      </c>
      <c r="D36" s="24"/>
      <c r="E36" s="36"/>
      <c r="F36" s="27"/>
      <c r="G36" s="27"/>
      <c r="H36" s="27"/>
      <c r="I36" s="24"/>
      <c r="J36" s="24"/>
      <c r="K36" s="27"/>
      <c r="L36" s="22"/>
      <c r="M36" s="24"/>
      <c r="N36" s="28"/>
      <c r="O36" s="28"/>
    </row>
    <row r="37" spans="2:15" ht="15.75" x14ac:dyDescent="0.25">
      <c r="B37" s="17" t="str">
        <f t="shared" si="2"/>
        <v/>
      </c>
      <c r="C37" s="24" t="s">
        <v>176</v>
      </c>
      <c r="D37" s="24"/>
      <c r="E37" s="36"/>
      <c r="F37" s="27"/>
      <c r="G37" s="27"/>
      <c r="H37" s="19"/>
      <c r="I37" s="24"/>
      <c r="J37" s="24"/>
      <c r="K37" s="24"/>
      <c r="L37" s="22"/>
      <c r="M37" s="24"/>
      <c r="N37" s="28"/>
      <c r="O37" s="28"/>
    </row>
    <row r="38" spans="2:15" ht="15.75" x14ac:dyDescent="0.25">
      <c r="B38" s="17">
        <f t="shared" si="2"/>
        <v>2</v>
      </c>
      <c r="C38" s="24" t="s">
        <v>177</v>
      </c>
      <c r="D38" s="24" t="s">
        <v>15</v>
      </c>
      <c r="E38" s="31" t="s">
        <v>178</v>
      </c>
      <c r="F38" s="24" t="s">
        <v>179</v>
      </c>
      <c r="G38" s="27" t="s">
        <v>27</v>
      </c>
      <c r="H38" s="24" t="s">
        <v>116</v>
      </c>
      <c r="I38" s="24" t="s">
        <v>180</v>
      </c>
      <c r="J38" s="24" t="s">
        <v>181</v>
      </c>
      <c r="K38" s="24">
        <v>2</v>
      </c>
      <c r="L38" s="22" t="s">
        <v>57</v>
      </c>
      <c r="M38" s="24"/>
      <c r="N38" s="25" t="s">
        <v>33</v>
      </c>
      <c r="O38" s="25" t="s">
        <v>33</v>
      </c>
    </row>
    <row r="39" spans="2:15" ht="15.75" x14ac:dyDescent="0.25">
      <c r="B39" s="17">
        <f t="shared" si="2"/>
        <v>2</v>
      </c>
      <c r="C39" s="24" t="s">
        <v>182</v>
      </c>
      <c r="D39" s="24" t="s">
        <v>15</v>
      </c>
      <c r="E39" s="31" t="s">
        <v>183</v>
      </c>
      <c r="F39" s="24" t="s">
        <v>184</v>
      </c>
      <c r="G39" s="27" t="s">
        <v>27</v>
      </c>
      <c r="H39" s="24" t="s">
        <v>116</v>
      </c>
      <c r="I39" s="24" t="s">
        <v>180</v>
      </c>
      <c r="J39" s="24" t="s">
        <v>181</v>
      </c>
      <c r="K39" s="24">
        <v>1</v>
      </c>
      <c r="L39" s="22" t="s">
        <v>57</v>
      </c>
      <c r="M39" s="24"/>
      <c r="N39" s="25" t="s">
        <v>33</v>
      </c>
      <c r="O39" s="25" t="s">
        <v>33</v>
      </c>
    </row>
    <row r="40" spans="2:15" ht="15.75" x14ac:dyDescent="0.25">
      <c r="B40" s="17">
        <f t="shared" si="2"/>
        <v>2</v>
      </c>
      <c r="C40" s="24" t="s">
        <v>185</v>
      </c>
      <c r="D40" s="24" t="s">
        <v>157</v>
      </c>
      <c r="E40" s="31" t="s">
        <v>186</v>
      </c>
      <c r="F40" s="24" t="s">
        <v>187</v>
      </c>
      <c r="G40" s="27" t="s">
        <v>27</v>
      </c>
      <c r="H40" s="19" t="s">
        <v>116</v>
      </c>
      <c r="I40" s="24" t="s">
        <v>188</v>
      </c>
      <c r="J40" s="24" t="s">
        <v>189</v>
      </c>
      <c r="K40" s="24">
        <v>4</v>
      </c>
      <c r="L40" s="22" t="s">
        <v>190</v>
      </c>
      <c r="M40" s="24"/>
      <c r="N40" s="28" t="s">
        <v>33</v>
      </c>
      <c r="O40" s="28" t="s">
        <v>33</v>
      </c>
    </row>
    <row r="41" spans="2:15" ht="15.75" x14ac:dyDescent="0.25">
      <c r="B41" s="17">
        <f t="shared" si="2"/>
        <v>0</v>
      </c>
      <c r="C41" s="24" t="s">
        <v>191</v>
      </c>
      <c r="D41" s="24" t="s">
        <v>15</v>
      </c>
      <c r="E41" s="31" t="s">
        <v>192</v>
      </c>
      <c r="F41" s="24" t="s">
        <v>193</v>
      </c>
      <c r="G41" s="27">
        <v>2396002</v>
      </c>
      <c r="H41" s="24" t="s">
        <v>194</v>
      </c>
      <c r="I41" s="24" t="s">
        <v>195</v>
      </c>
      <c r="J41" s="24" t="s">
        <v>189</v>
      </c>
      <c r="K41" s="24" t="s">
        <v>196</v>
      </c>
      <c r="L41" s="24" t="s">
        <v>197</v>
      </c>
      <c r="M41" s="24"/>
      <c r="N41" s="28" t="s">
        <v>23</v>
      </c>
      <c r="O41" s="28" t="s">
        <v>23</v>
      </c>
    </row>
    <row r="42" spans="2:15" ht="47.25" x14ac:dyDescent="0.25">
      <c r="B42" s="17">
        <f t="shared" si="2"/>
        <v>2</v>
      </c>
      <c r="C42" s="24" t="s">
        <v>198</v>
      </c>
      <c r="D42" s="24" t="s">
        <v>15</v>
      </c>
      <c r="E42" s="36" t="s">
        <v>206</v>
      </c>
      <c r="F42" s="27" t="s">
        <v>200</v>
      </c>
      <c r="G42" s="27" t="s">
        <v>27</v>
      </c>
      <c r="H42" s="24" t="s">
        <v>116</v>
      </c>
      <c r="I42" s="24" t="s">
        <v>201</v>
      </c>
      <c r="J42" s="24" t="s">
        <v>202</v>
      </c>
      <c r="K42" s="27" t="s">
        <v>205</v>
      </c>
      <c r="L42" s="22" t="s">
        <v>57</v>
      </c>
      <c r="M42" s="24"/>
      <c r="N42" s="25" t="s">
        <v>33</v>
      </c>
      <c r="O42" s="25" t="s">
        <v>33</v>
      </c>
    </row>
    <row r="43" spans="2:15" ht="15.75" x14ac:dyDescent="0.25">
      <c r="B43" s="17">
        <f t="shared" si="2"/>
        <v>2</v>
      </c>
      <c r="C43" s="24" t="s">
        <v>199</v>
      </c>
      <c r="D43" s="24" t="s">
        <v>15</v>
      </c>
      <c r="E43" s="31" t="s">
        <v>203</v>
      </c>
      <c r="F43" s="24" t="s">
        <v>204</v>
      </c>
      <c r="G43" s="27" t="s">
        <v>27</v>
      </c>
      <c r="H43" s="24" t="s">
        <v>116</v>
      </c>
      <c r="I43" s="24" t="s">
        <v>201</v>
      </c>
      <c r="J43" s="24" t="s">
        <v>202</v>
      </c>
      <c r="K43" s="24">
        <v>8</v>
      </c>
      <c r="L43" s="22" t="s">
        <v>57</v>
      </c>
      <c r="M43" s="24"/>
      <c r="N43" s="25" t="s">
        <v>33</v>
      </c>
      <c r="O43" s="25" t="s">
        <v>33</v>
      </c>
    </row>
    <row r="44" spans="2:15" ht="15.75" x14ac:dyDescent="0.25">
      <c r="B44" s="17"/>
      <c r="C44" s="24"/>
      <c r="D44" s="24"/>
      <c r="E44" s="31"/>
      <c r="F44" s="24"/>
      <c r="G44" s="27"/>
      <c r="H44" s="19"/>
      <c r="I44" s="24"/>
      <c r="J44" s="24"/>
      <c r="K44" s="24"/>
      <c r="L44" s="22"/>
      <c r="M44" s="24"/>
      <c r="N44" s="28"/>
      <c r="O44" s="28"/>
    </row>
    <row r="45" spans="2:15" ht="15.75" x14ac:dyDescent="0.25">
      <c r="B45" s="17"/>
      <c r="C45" s="24"/>
      <c r="D45" s="24"/>
      <c r="E45" s="31"/>
      <c r="F45" s="24"/>
      <c r="G45" s="27"/>
      <c r="H45" s="19"/>
      <c r="I45" s="24"/>
      <c r="J45" s="24"/>
      <c r="K45" s="24"/>
      <c r="L45" s="22"/>
      <c r="M45" s="24"/>
      <c r="N45" s="28"/>
      <c r="O45" s="28"/>
    </row>
    <row r="46" spans="2:15" ht="15.75" x14ac:dyDescent="0.25">
      <c r="B46" s="17"/>
      <c r="C46" s="24"/>
      <c r="D46" s="24"/>
      <c r="E46" s="31"/>
      <c r="F46" s="24"/>
      <c r="G46" s="27"/>
      <c r="H46" s="19"/>
      <c r="I46" s="24"/>
      <c r="J46" s="24"/>
      <c r="K46" s="24"/>
      <c r="L46" s="22"/>
      <c r="M46" s="24"/>
      <c r="N46" s="28"/>
      <c r="O46" s="28"/>
    </row>
    <row r="47" spans="2:15" ht="15.75" x14ac:dyDescent="0.25">
      <c r="B47" s="17"/>
      <c r="C47" s="24"/>
      <c r="D47" s="24"/>
      <c r="E47" s="31"/>
      <c r="F47" s="24"/>
      <c r="G47" s="27"/>
      <c r="H47" s="19"/>
      <c r="I47" s="24"/>
      <c r="J47" s="24"/>
      <c r="K47" s="24"/>
      <c r="L47" s="22"/>
      <c r="M47" s="24"/>
      <c r="N47" s="28"/>
      <c r="O47" s="28"/>
    </row>
    <row r="48" spans="2:15" ht="15.75" x14ac:dyDescent="0.25">
      <c r="B48" s="17"/>
      <c r="C48" s="24"/>
      <c r="D48" s="24"/>
      <c r="E48" s="36"/>
      <c r="F48" s="27"/>
      <c r="G48" s="27"/>
      <c r="H48" s="27"/>
      <c r="I48" s="24"/>
      <c r="J48" s="24"/>
      <c r="K48" s="24"/>
      <c r="L48" s="24"/>
      <c r="M48" s="24"/>
      <c r="N48" s="28"/>
      <c r="O48" s="28"/>
    </row>
    <row r="49" spans="2:15" ht="15.75" x14ac:dyDescent="0.25">
      <c r="B49" s="17"/>
      <c r="C49" s="24"/>
      <c r="D49" s="24"/>
      <c r="E49" s="31"/>
      <c r="F49" s="24"/>
      <c r="G49" s="27"/>
      <c r="H49" s="19"/>
      <c r="I49" s="24"/>
      <c r="J49" s="24"/>
      <c r="K49" s="24"/>
      <c r="L49" s="22"/>
      <c r="M49" s="24"/>
      <c r="N49" s="28"/>
      <c r="O49" s="28"/>
    </row>
    <row r="50" spans="2:15" ht="15.75" x14ac:dyDescent="0.25">
      <c r="B50" s="17"/>
      <c r="C50" s="24"/>
      <c r="D50" s="24"/>
      <c r="E50" s="31"/>
      <c r="F50" s="24"/>
      <c r="G50" s="27"/>
      <c r="H50" s="19"/>
      <c r="I50" s="24"/>
      <c r="J50" s="24"/>
      <c r="K50" s="24"/>
      <c r="L50" s="22"/>
      <c r="M50" s="24"/>
      <c r="N50" s="28"/>
      <c r="O50" s="28"/>
    </row>
    <row r="51" spans="2:15" ht="16.5" x14ac:dyDescent="0.3">
      <c r="B51" s="17"/>
      <c r="C51" s="24"/>
      <c r="D51" s="24"/>
      <c r="E51" s="31"/>
      <c r="F51" s="24"/>
      <c r="G51" s="27"/>
      <c r="H51" s="19"/>
      <c r="I51" s="24"/>
      <c r="J51" s="24"/>
      <c r="K51" s="26"/>
      <c r="L51" s="22"/>
      <c r="M51" s="26"/>
      <c r="N51" s="29"/>
      <c r="O51" s="28"/>
    </row>
    <row r="52" spans="2:15" ht="16.5" x14ac:dyDescent="0.3">
      <c r="B52" s="17"/>
      <c r="C52" s="24"/>
      <c r="D52" s="24"/>
      <c r="E52" s="31"/>
      <c r="F52" s="24"/>
      <c r="G52" s="27"/>
      <c r="H52" s="19"/>
      <c r="I52" s="24"/>
      <c r="J52" s="24"/>
      <c r="K52" s="26"/>
      <c r="L52" s="22"/>
      <c r="M52" s="26"/>
      <c r="N52" s="29"/>
      <c r="O52" s="28"/>
    </row>
    <row r="53" spans="2:15" ht="16.5" x14ac:dyDescent="0.3">
      <c r="B53" s="17"/>
      <c r="C53" s="24"/>
      <c r="D53" s="24"/>
      <c r="E53" s="31"/>
      <c r="F53" s="24"/>
      <c r="G53" s="27"/>
      <c r="H53" s="19"/>
      <c r="I53" s="24"/>
      <c r="J53" s="24"/>
      <c r="K53" s="26"/>
      <c r="L53" s="22"/>
      <c r="M53" s="26"/>
      <c r="N53" s="29"/>
      <c r="O53" s="28"/>
    </row>
    <row r="54" spans="2:15" ht="16.5" x14ac:dyDescent="0.3">
      <c r="B54" s="17"/>
      <c r="C54" s="24"/>
      <c r="D54" s="24"/>
      <c r="E54" s="31"/>
      <c r="F54" s="24"/>
      <c r="G54" s="27"/>
      <c r="H54" s="19"/>
      <c r="I54" s="24"/>
      <c r="J54" s="24"/>
      <c r="K54" s="26"/>
      <c r="L54" s="22"/>
      <c r="M54" s="26"/>
      <c r="N54" s="29"/>
      <c r="O54" s="28"/>
    </row>
    <row r="55" spans="2:15" ht="15.75" x14ac:dyDescent="0.25">
      <c r="B55" s="17"/>
      <c r="C55" s="24"/>
      <c r="D55" s="24"/>
      <c r="E55" s="31"/>
      <c r="F55" s="24"/>
      <c r="G55" s="27"/>
      <c r="H55" s="19"/>
      <c r="I55" s="24"/>
      <c r="L55" s="9"/>
      <c r="M55" s="9"/>
      <c r="N55" s="30"/>
      <c r="O55" s="28"/>
    </row>
    <row r="56" spans="2:15" ht="16.5" x14ac:dyDescent="0.3">
      <c r="B56" s="17"/>
      <c r="C56" s="26"/>
      <c r="D56" s="26"/>
      <c r="E56" s="38"/>
      <c r="F56" s="26"/>
      <c r="G56" s="37"/>
      <c r="H56" s="26"/>
      <c r="I56" s="26"/>
      <c r="J56" s="26"/>
      <c r="K56" s="26"/>
      <c r="L56" s="26"/>
      <c r="M56" s="26"/>
      <c r="N56" s="29"/>
      <c r="O56" s="29"/>
    </row>
    <row r="57" spans="2:15" ht="16.5" x14ac:dyDescent="0.3">
      <c r="B57" s="17"/>
      <c r="C57" s="26"/>
      <c r="D57" s="26"/>
      <c r="E57" s="38"/>
      <c r="F57"/>
      <c r="G57" s="37"/>
      <c r="H57" s="26"/>
      <c r="I57" s="26"/>
      <c r="J57" s="26"/>
      <c r="K57" s="26"/>
      <c r="L57" s="26"/>
      <c r="M57" s="26"/>
      <c r="N57" s="29"/>
      <c r="O57" s="29"/>
    </row>
    <row r="58" spans="2:15" ht="15.75" x14ac:dyDescent="0.25">
      <c r="B58" s="17"/>
      <c r="C58" s="24"/>
      <c r="D58" s="24"/>
      <c r="E58" s="24"/>
      <c r="F58" s="24"/>
      <c r="G58" s="27"/>
      <c r="H58" s="19"/>
      <c r="I58" s="24"/>
      <c r="L58" s="9"/>
      <c r="M58" s="9"/>
      <c r="N58" s="30"/>
      <c r="O58" s="28"/>
    </row>
    <row r="59" spans="2:15" ht="16.5" x14ac:dyDescent="0.3">
      <c r="B59" s="17"/>
      <c r="C59" s="24"/>
      <c r="D59" s="24"/>
      <c r="E59" s="31"/>
      <c r="F59" s="24"/>
      <c r="G59" s="27"/>
      <c r="H59" s="19"/>
      <c r="I59" s="24"/>
      <c r="J59" s="24"/>
      <c r="L59" s="22"/>
      <c r="O59" s="29"/>
    </row>
    <row r="60" spans="2:15" ht="15.75" x14ac:dyDescent="0.25">
      <c r="B60" s="17"/>
      <c r="C60" s="24"/>
      <c r="D60" s="24"/>
      <c r="E60" s="31"/>
      <c r="F60" s="24"/>
      <c r="G60" s="27"/>
      <c r="H60" s="19"/>
      <c r="I60" s="24"/>
      <c r="J60" s="24"/>
      <c r="L60" s="22"/>
      <c r="O60" s="28"/>
    </row>
    <row r="61" spans="2:15" ht="15.75" x14ac:dyDescent="0.25">
      <c r="B61" s="17"/>
      <c r="C61" s="24"/>
      <c r="D61" s="24"/>
      <c r="E61" s="31"/>
      <c r="F61" s="24"/>
      <c r="G61" s="27"/>
      <c r="H61" s="19"/>
      <c r="I61" s="24"/>
      <c r="J61" s="24"/>
      <c r="L61" s="22"/>
      <c r="O61" s="28"/>
    </row>
    <row r="62" spans="2:15" ht="15.75" x14ac:dyDescent="0.25">
      <c r="B62" s="17"/>
      <c r="C62" s="24"/>
      <c r="D62" s="24"/>
      <c r="G62" s="27"/>
      <c r="H62" s="19"/>
      <c r="L62" s="22"/>
      <c r="O62" s="28"/>
    </row>
    <row r="63" spans="2:15" ht="15.75" x14ac:dyDescent="0.25">
      <c r="B63" s="17"/>
      <c r="C63" s="24"/>
      <c r="D63" s="24"/>
      <c r="E63" s="31"/>
      <c r="F63"/>
      <c r="G63" s="27"/>
      <c r="H63" s="19"/>
      <c r="I63" s="24"/>
      <c r="J63" s="24"/>
      <c r="L63" s="22"/>
      <c r="O63" s="28"/>
    </row>
    <row r="64" spans="2:15" ht="15.75" x14ac:dyDescent="0.25">
      <c r="B64" s="17"/>
      <c r="C64" s="24"/>
      <c r="D64" s="24"/>
      <c r="E64" s="31"/>
      <c r="F64" s="24"/>
      <c r="G64" s="27"/>
      <c r="H64" s="19"/>
      <c r="I64" s="24"/>
      <c r="J64" s="24"/>
      <c r="L64" s="22"/>
      <c r="O64" s="28"/>
    </row>
    <row r="65" spans="1:75" ht="15.75" x14ac:dyDescent="0.25">
      <c r="B65" s="17"/>
      <c r="C65" s="24"/>
      <c r="D65" s="24"/>
      <c r="E65" s="31"/>
      <c r="F65" s="24"/>
      <c r="G65" s="27"/>
      <c r="H65" s="19"/>
      <c r="I65" s="24"/>
      <c r="J65" s="24"/>
      <c r="L65" s="22"/>
      <c r="O65" s="28"/>
    </row>
    <row r="66" spans="1:75" ht="15.75" x14ac:dyDescent="0.25">
      <c r="B66" s="17"/>
      <c r="C66" s="24"/>
      <c r="D66" s="24"/>
      <c r="E66" s="31"/>
      <c r="F66" s="24"/>
      <c r="G66" s="27"/>
      <c r="H66" s="19"/>
      <c r="I66" s="24"/>
      <c r="J66" s="24"/>
      <c r="L66" s="22"/>
      <c r="O66" s="28"/>
    </row>
    <row r="67" spans="1:75" s="46" customFormat="1" ht="15.75" x14ac:dyDescent="0.25">
      <c r="A67" s="39"/>
      <c r="B67" s="40"/>
      <c r="C67" s="41"/>
      <c r="D67" s="41"/>
      <c r="E67" s="42"/>
      <c r="F67" s="41"/>
      <c r="G67" s="43"/>
      <c r="H67" s="44"/>
      <c r="I67" s="41"/>
      <c r="J67" s="41"/>
      <c r="K67" s="49"/>
      <c r="L67" s="45"/>
      <c r="N67" s="47"/>
      <c r="O67" s="48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39"/>
      <c r="AQ67" s="39"/>
      <c r="AR67" s="39"/>
      <c r="AS67" s="39"/>
      <c r="AT67" s="39"/>
      <c r="AU67" s="39"/>
      <c r="AV67" s="39"/>
      <c r="AW67" s="39"/>
      <c r="AX67" s="39"/>
      <c r="AY67" s="39"/>
      <c r="AZ67" s="39"/>
      <c r="BA67" s="39"/>
      <c r="BB67" s="39"/>
      <c r="BC67" s="39"/>
      <c r="BD67" s="39"/>
      <c r="BE67" s="39"/>
      <c r="BF67" s="39"/>
      <c r="BG67" s="39"/>
      <c r="BH67" s="39"/>
      <c r="BI67" s="39"/>
      <c r="BJ67" s="39"/>
      <c r="BK67" s="39"/>
      <c r="BL67" s="39"/>
      <c r="BM67" s="39"/>
      <c r="BN67" s="39"/>
      <c r="BO67" s="39"/>
      <c r="BP67" s="39"/>
      <c r="BQ67" s="39"/>
      <c r="BR67" s="39"/>
      <c r="BS67" s="39"/>
      <c r="BT67" s="39"/>
      <c r="BU67" s="39"/>
      <c r="BV67" s="39"/>
      <c r="BW67" s="39"/>
    </row>
    <row r="68" spans="1:75" ht="18" customHeight="1" x14ac:dyDescent="0.25">
      <c r="B68" s="17"/>
      <c r="C68" s="24"/>
      <c r="D68" s="24"/>
      <c r="E68" s="31"/>
      <c r="F68" s="24"/>
      <c r="G68" s="27"/>
      <c r="H68" s="19"/>
      <c r="I68" s="24"/>
      <c r="J68" s="24"/>
      <c r="L68" s="22"/>
      <c r="O68" s="28"/>
    </row>
    <row r="69" spans="1:75" ht="15.75" x14ac:dyDescent="0.25">
      <c r="B69" s="17"/>
      <c r="C69" s="24"/>
      <c r="D69" s="24"/>
      <c r="E69" s="31"/>
      <c r="F69" s="24"/>
      <c r="G69" s="27"/>
      <c r="H69" s="19"/>
      <c r="I69" s="24"/>
      <c r="J69" s="24"/>
      <c r="L69" s="22"/>
      <c r="O69" s="28"/>
    </row>
    <row r="70" spans="1:75" ht="15.75" x14ac:dyDescent="0.25">
      <c r="B70" s="17"/>
      <c r="C70" s="24"/>
      <c r="D70" s="24"/>
      <c r="E70" s="31"/>
      <c r="F70" s="24"/>
      <c r="G70" s="27"/>
      <c r="H70" s="19"/>
      <c r="I70" s="24"/>
      <c r="J70" s="24"/>
      <c r="L70" s="22"/>
      <c r="O70" s="28"/>
    </row>
    <row r="71" spans="1:75" ht="15.75" x14ac:dyDescent="0.25">
      <c r="B71" s="17"/>
      <c r="C71" s="24"/>
      <c r="D71" s="24"/>
      <c r="E71" s="31"/>
      <c r="F71" s="24"/>
      <c r="G71" s="27"/>
      <c r="H71" s="19"/>
      <c r="I71" s="24"/>
      <c r="J71" s="24"/>
      <c r="K71" s="50"/>
      <c r="L71" s="22"/>
      <c r="O71" s="28"/>
    </row>
    <row r="72" spans="1:75" ht="15.75" x14ac:dyDescent="0.25">
      <c r="B72" s="17"/>
      <c r="C72" s="24"/>
      <c r="D72" s="24"/>
      <c r="E72" s="31"/>
      <c r="F72" s="24"/>
      <c r="G72" s="27"/>
      <c r="H72" s="19"/>
      <c r="I72" s="24"/>
      <c r="L72" s="9"/>
      <c r="M72" s="9"/>
      <c r="N72" s="30"/>
      <c r="O72" s="28"/>
    </row>
    <row r="73" spans="1:75" ht="15.75" x14ac:dyDescent="0.25">
      <c r="B73" s="17"/>
      <c r="C73"/>
      <c r="D73"/>
      <c r="E73"/>
      <c r="F73"/>
      <c r="L73" s="22"/>
    </row>
    <row r="74" spans="1:75" ht="15.75" x14ac:dyDescent="0.25">
      <c r="B74" s="17"/>
      <c r="C74"/>
      <c r="D74"/>
      <c r="E74" s="51"/>
      <c r="F74"/>
      <c r="L74" s="22"/>
    </row>
    <row r="75" spans="1:75" ht="15.75" x14ac:dyDescent="0.25">
      <c r="B75" s="17"/>
      <c r="C75"/>
      <c r="D75"/>
      <c r="E75" s="51"/>
      <c r="F75"/>
      <c r="L75" s="22"/>
    </row>
    <row r="76" spans="1:75" ht="15.75" x14ac:dyDescent="0.25">
      <c r="B76" s="17"/>
      <c r="C76"/>
      <c r="D76"/>
      <c r="E76" s="51"/>
      <c r="F76"/>
      <c r="L76" s="22"/>
    </row>
    <row r="77" spans="1:75" ht="15.75" x14ac:dyDescent="0.25">
      <c r="B77" s="17"/>
      <c r="C77"/>
      <c r="D77"/>
      <c r="E77" s="51"/>
      <c r="F77"/>
      <c r="L77" s="22"/>
    </row>
    <row r="78" spans="1:75" ht="15.75" x14ac:dyDescent="0.25">
      <c r="B78" s="17"/>
      <c r="C78"/>
      <c r="D78"/>
      <c r="E78" s="51"/>
      <c r="F78"/>
      <c r="L78" s="22"/>
    </row>
    <row r="79" spans="1:75" ht="15.75" x14ac:dyDescent="0.25">
      <c r="B79" s="17"/>
      <c r="C79"/>
      <c r="D79"/>
      <c r="E79" s="51"/>
      <c r="F79"/>
      <c r="L79" s="22"/>
    </row>
    <row r="80" spans="1:75" ht="15.75" x14ac:dyDescent="0.25">
      <c r="B80" s="17"/>
      <c r="C80"/>
      <c r="D80"/>
      <c r="E80" s="51"/>
      <c r="F80"/>
      <c r="L80" s="22"/>
    </row>
    <row r="81" spans="2:15" ht="15.75" x14ac:dyDescent="0.25">
      <c r="B81" s="17"/>
      <c r="C81"/>
      <c r="D81"/>
      <c r="E81" s="51"/>
      <c r="F81"/>
      <c r="L81" s="22"/>
    </row>
    <row r="82" spans="2:15" ht="15.75" x14ac:dyDescent="0.25">
      <c r="B82" s="17"/>
      <c r="C82"/>
      <c r="D82" s="24"/>
      <c r="E82" s="31"/>
      <c r="F82" s="24"/>
      <c r="G82" s="27"/>
      <c r="H82" s="19"/>
      <c r="I82" s="24"/>
      <c r="L82" s="9"/>
      <c r="M82" s="9"/>
      <c r="N82" s="30"/>
      <c r="O82" s="28"/>
    </row>
    <row r="83" spans="2:15" ht="15.75" x14ac:dyDescent="0.25">
      <c r="B83" s="17"/>
      <c r="C83"/>
      <c r="D83"/>
      <c r="E83" s="51"/>
      <c r="F83"/>
      <c r="L83" s="22"/>
    </row>
    <row r="84" spans="2:15" ht="15.75" x14ac:dyDescent="0.25">
      <c r="B84" s="17"/>
      <c r="C84"/>
      <c r="D84"/>
      <c r="E84" s="51"/>
      <c r="F84"/>
      <c r="L84" s="22"/>
    </row>
    <row r="85" spans="2:15" ht="15.75" x14ac:dyDescent="0.25">
      <c r="B85" s="53"/>
      <c r="C85"/>
      <c r="D85"/>
      <c r="E85" s="52"/>
      <c r="F85"/>
      <c r="H85" s="27"/>
      <c r="K85" s="50"/>
      <c r="L85" s="22"/>
      <c r="N85" s="54"/>
    </row>
    <row r="86" spans="2:15" ht="15.75" x14ac:dyDescent="0.25">
      <c r="B86" s="53"/>
      <c r="C86"/>
      <c r="D86"/>
      <c r="E86" s="52"/>
      <c r="F86"/>
      <c r="H86" s="27"/>
      <c r="K86" s="50"/>
      <c r="L86" s="22"/>
    </row>
    <row r="87" spans="2:15" ht="15.75" x14ac:dyDescent="0.25">
      <c r="B87" s="17"/>
      <c r="C87"/>
      <c r="D87"/>
      <c r="E87" s="51"/>
      <c r="F87"/>
      <c r="L87" s="22"/>
    </row>
    <row r="88" spans="2:15" ht="15.75" x14ac:dyDescent="0.25">
      <c r="B88" s="17"/>
      <c r="C88"/>
      <c r="D88"/>
      <c r="E88" s="51"/>
      <c r="F88"/>
      <c r="L88" s="22"/>
    </row>
    <row r="89" spans="2:15" ht="15.75" x14ac:dyDescent="0.25">
      <c r="B89" s="17"/>
    </row>
    <row r="90" spans="2:15" ht="15.75" x14ac:dyDescent="0.25">
      <c r="B90" s="17" t="str">
        <f t="shared" ref="B90:B98" si="3">IF(O90="","",IF(O90="offen",0,IF(O90="freigegeben",1.5,2)))</f>
        <v/>
      </c>
    </row>
    <row r="91" spans="2:15" ht="15.75" x14ac:dyDescent="0.25">
      <c r="B91" s="17" t="str">
        <f t="shared" si="3"/>
        <v/>
      </c>
    </row>
    <row r="92" spans="2:15" ht="15.75" x14ac:dyDescent="0.25">
      <c r="B92" s="17" t="str">
        <f t="shared" si="3"/>
        <v/>
      </c>
    </row>
    <row r="93" spans="2:15" ht="15.75" x14ac:dyDescent="0.25">
      <c r="B93" s="17" t="str">
        <f t="shared" si="3"/>
        <v/>
      </c>
    </row>
    <row r="94" spans="2:15" ht="15.75" x14ac:dyDescent="0.25">
      <c r="B94" s="17" t="str">
        <f t="shared" si="3"/>
        <v/>
      </c>
    </row>
    <row r="95" spans="2:15" ht="15.75" x14ac:dyDescent="0.25">
      <c r="B95" s="17" t="str">
        <f t="shared" si="3"/>
        <v/>
      </c>
    </row>
    <row r="96" spans="2:15" ht="15.75" x14ac:dyDescent="0.25">
      <c r="B96" s="17" t="str">
        <f t="shared" si="3"/>
        <v/>
      </c>
    </row>
    <row r="97" spans="2:2" ht="15.75" x14ac:dyDescent="0.25">
      <c r="B97" s="17" t="str">
        <f t="shared" si="3"/>
        <v/>
      </c>
    </row>
    <row r="98" spans="2:2" ht="15.75" x14ac:dyDescent="0.25">
      <c r="B98" s="17" t="str">
        <f t="shared" si="3"/>
        <v/>
      </c>
    </row>
  </sheetData>
  <autoFilter ref="A3:DJ43" xr:uid="{00000000-0009-0000-0000-000000000000}"/>
  <dataConsolidate/>
  <mergeCells count="1">
    <mergeCell ref="B2:L2"/>
  </mergeCells>
  <phoneticPr fontId="9" type="noConversion"/>
  <conditionalFormatting sqref="B4:B11">
    <cfRule type="iconSet" priority="1">
      <iconSet iconSet="3TrafficLights2" showValue="0">
        <cfvo type="percent" val="0"/>
        <cfvo type="num" val="1"/>
        <cfvo type="num" val="2"/>
      </iconSet>
    </cfRule>
  </conditionalFormatting>
  <conditionalFormatting sqref="B12:B14">
    <cfRule type="iconSet" priority="8">
      <iconSet iconSet="3TrafficLights2" showValue="0">
        <cfvo type="percent" val="0"/>
        <cfvo type="num" val="1"/>
        <cfvo type="num" val="2"/>
      </iconSet>
    </cfRule>
  </conditionalFormatting>
  <conditionalFormatting sqref="B15:B25">
    <cfRule type="iconSet" priority="6">
      <iconSet iconSet="3TrafficLights2" showValue="0">
        <cfvo type="percent" val="0"/>
        <cfvo type="num" val="1"/>
        <cfvo type="num" val="2"/>
      </iconSet>
    </cfRule>
  </conditionalFormatting>
  <conditionalFormatting sqref="B26:B57">
    <cfRule type="iconSet" priority="4">
      <iconSet iconSet="3TrafficLights2" showValue="0">
        <cfvo type="percent" val="0"/>
        <cfvo type="num" val="1"/>
        <cfvo type="num" val="2"/>
      </iconSet>
    </cfRule>
  </conditionalFormatting>
  <conditionalFormatting sqref="B58:B71">
    <cfRule type="iconSet" priority="3">
      <iconSet iconSet="3TrafficLights2" showValue="0">
        <cfvo type="percent" val="0"/>
        <cfvo type="num" val="1"/>
        <cfvo type="num" val="2"/>
      </iconSet>
    </cfRule>
  </conditionalFormatting>
  <conditionalFormatting sqref="B72:B98">
    <cfRule type="iconSet" priority="2">
      <iconSet iconSet="3TrafficLights2" showValue="0">
        <cfvo type="percent" val="0"/>
        <cfvo type="num" val="1"/>
        <cfvo type="num" val="2"/>
      </iconSet>
    </cfRule>
  </conditionalFormatting>
  <pageMargins left="0.7" right="0.7" top="0.78740157499999996" bottom="0.78740157499999996" header="0.3" footer="0.3"/>
  <pageSetup paperSize="8" scale="61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'Status Liste'!$A$2:$A$4</xm:f>
          </x14:formula1>
          <xm:sqref>O4:O7 N11:O11 N9 O9:O10 N38:O39 N42:O43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>
      <selection activeCell="D29" sqref="D29"/>
    </sheetView>
  </sheetViews>
  <sheetFormatPr baseColWidth="10" defaultColWidth="11.42578125" defaultRowHeight="15" x14ac:dyDescent="0.25"/>
  <cols>
    <col min="1" max="1" width="12.5703125" customWidth="1"/>
  </cols>
  <sheetData>
    <row r="1" spans="1:1" x14ac:dyDescent="0.25">
      <c r="A1" t="s">
        <v>12</v>
      </c>
    </row>
    <row r="2" spans="1:1" x14ac:dyDescent="0.25">
      <c r="A2" t="s">
        <v>23</v>
      </c>
    </row>
    <row r="3" spans="1:1" x14ac:dyDescent="0.25">
      <c r="A3" t="s">
        <v>32</v>
      </c>
    </row>
    <row r="4" spans="1:1" x14ac:dyDescent="0.25">
      <c r="A4" t="s">
        <v>33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9c62a4-0f37-4b66-b4f0-d96c1b5a08a3" xsi:nil="true"/>
    <lcf76f155ced4ddcb4097134ff3c332f xmlns="fbf11286-88bd-49f6-9e65-04081c2d26f1">
      <Terms xmlns="http://schemas.microsoft.com/office/infopath/2007/PartnerControls"/>
    </lcf76f155ced4ddcb4097134ff3c332f>
    <_Flow_SignoffStatus xmlns="fbf11286-88bd-49f6-9e65-04081c2d26f1" xsi:nil="true"/>
    <_ip_UnifiedCompliancePolicyUIAction xmlns="http://schemas.microsoft.com/sharepoint/v3" xsi:nil="true"/>
    <_ip_UnifiedCompliancePolicyProperties xmlns="http://schemas.microsoft.com/sharepoint/v3" xsi:nil="true"/>
    <MailGesendet xmlns="fbf11286-88bd-49f6-9e65-04081c2d26f1">false</MailGesendet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960822D6E90E4B9842C914F28C75AF" ma:contentTypeVersion="22" ma:contentTypeDescription="Create a new document." ma:contentTypeScope="" ma:versionID="c0a26af2f494b51327415fc7c6a55e58">
  <xsd:schema xmlns:xsd="http://www.w3.org/2001/XMLSchema" xmlns:xs="http://www.w3.org/2001/XMLSchema" xmlns:p="http://schemas.microsoft.com/office/2006/metadata/properties" xmlns:ns1="http://schemas.microsoft.com/sharepoint/v3" xmlns:ns2="fbf11286-88bd-49f6-9e65-04081c2d26f1" xmlns:ns3="199c62a4-0f37-4b66-b4f0-d96c1b5a08a3" targetNamespace="http://schemas.microsoft.com/office/2006/metadata/properties" ma:root="true" ma:fieldsID="c4df49a5f4eb8e9ec2d8f32cb1d6e68e" ns1:_="" ns2:_="" ns3:_="">
    <xsd:import namespace="http://schemas.microsoft.com/sharepoint/v3"/>
    <xsd:import namespace="fbf11286-88bd-49f6-9e65-04081c2d26f1"/>
    <xsd:import namespace="199c62a4-0f37-4b66-b4f0-d96c1b5a08a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  <xsd:element ref="ns1:_ip_UnifiedCompliancePolicyProperties" minOccurs="0"/>
                <xsd:element ref="ns1:_ip_UnifiedCompliancePolicyUIAction" minOccurs="0"/>
                <xsd:element ref="ns2:MailGesende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f11286-88bd-49f6-9e65-04081c2d26f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f2cf889-88a9-489e-9f08-ce9bd417219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6" nillable="true" ma:displayName="Sign-off status" ma:internalName="Sign_x002d_off_x0020_status">
      <xsd:simpleType>
        <xsd:restriction base="dms:Text"/>
      </xsd:simpleType>
    </xsd:element>
    <xsd:element name="MailGesendet" ma:index="29" nillable="true" ma:displayName="MailGesendet" ma:default="0" ma:format="Dropdown" ma:internalName="MailGesendet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9c62a4-0f37-4b66-b4f0-d96c1b5a08a3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0c23f65d-059f-4a9c-af0f-a417b488feae}" ma:internalName="TaxCatchAll" ma:showField="CatchAllData" ma:web="199c62a4-0f37-4b66-b4f0-d96c1b5a08a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255A0F8-0595-48F3-B925-31307EDFC05B}">
  <ds:schemaRefs>
    <ds:schemaRef ds:uri="http://schemas.microsoft.com/office/2006/metadata/properties"/>
    <ds:schemaRef ds:uri="http://schemas.microsoft.com/office/infopath/2007/PartnerControls"/>
    <ds:schemaRef ds:uri="199c62a4-0f37-4b66-b4f0-d96c1b5a08a3"/>
    <ds:schemaRef ds:uri="fbf11286-88bd-49f6-9e65-04081c2d26f1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4A04A06B-3C45-41F8-AA98-4F3C7E28433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99E2940-4303-4A46-B5DC-A3757BF07344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2024_Übersicht QN</vt:lpstr>
      <vt:lpstr>Status Liste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GWF Qualitätsmanagement</dc:title>
  <dc:subject>Planung</dc:subject>
  <dc:creator>Erich Flühler</dc:creator>
  <cp:keywords/>
  <dc:description/>
  <cp:lastModifiedBy>Paul Skripalle</cp:lastModifiedBy>
  <cp:revision/>
  <dcterms:created xsi:type="dcterms:W3CDTF">2016-09-13T13:09:18Z</dcterms:created>
  <dcterms:modified xsi:type="dcterms:W3CDTF">2025-01-08T10:35:21Z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0x0101003F960822D6E90E4B9842C914F28C75AF</vt:lpwstr>
  </property>
  <property fmtid="{D5CDD505-2E9C-101B-9397-08002B2CF9AE}" pid="3" name="MediaServiceImageTags">
    <vt:lpwstr/>
  </property>
</Properties>
</file>