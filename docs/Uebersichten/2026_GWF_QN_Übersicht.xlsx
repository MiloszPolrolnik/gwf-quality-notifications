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ilosz.polrolnik\Downloads\"/>
    </mc:Choice>
  </mc:AlternateContent>
  <xr:revisionPtr revIDLastSave="0" documentId="8_{A759997A-2692-49C3-8143-134F344ABD50}" xr6:coauthVersionLast="47" xr6:coauthVersionMax="47" xr10:uidLastSave="{00000000-0000-0000-0000-000000000000}"/>
  <bookViews>
    <workbookView xWindow="38280" yWindow="-120" windowWidth="51840" windowHeight="21120" tabRatio="594" xr2:uid="{00000000-000D-0000-FFFF-FFFF00000000}"/>
  </bookViews>
  <sheets>
    <sheet name="2026_Übersicht QN" sheetId="5" r:id="rId1"/>
    <sheet name="Status Liste" sheetId="6" r:id="rId2"/>
  </sheets>
  <definedNames>
    <definedName name="_xlnm._FilterDatabase" localSheetId="0" hidden="1">'2026_Übersicht QN'!$A$3:$DJ$57</definedName>
    <definedName name="Ersteller" localSheetId="0">#REF!</definedName>
    <definedName name="Ersteller">#REF!</definedName>
    <definedName name="Liste_Audit_Thema" localSheetId="0">#REF!</definedName>
    <definedName name="Liste_Audit_Thema">#REF!</definedName>
    <definedName name="Liste_Prüfentscheid" localSheetId="0">#REF!</definedName>
    <definedName name="Liste_Prüfentschei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5" l="1"/>
  <c r="B18" i="5"/>
  <c r="B50" i="5"/>
  <c r="B51" i="5"/>
  <c r="B49" i="5"/>
  <c r="B48" i="5"/>
  <c r="B47" i="5"/>
  <c r="B46" i="5"/>
  <c r="B45" i="5"/>
  <c r="B44" i="5"/>
  <c r="B31" i="5"/>
  <c r="B22" i="5"/>
  <c r="B19" i="5"/>
  <c r="B20" i="5"/>
  <c r="B21" i="5"/>
  <c r="B40" i="5"/>
  <c r="B41" i="5"/>
  <c r="B42" i="5"/>
  <c r="B43" i="5"/>
  <c r="B39" i="5"/>
  <c r="B35" i="5"/>
  <c r="B36" i="5"/>
  <c r="B37" i="5"/>
  <c r="B38" i="5"/>
  <c r="B34" i="5"/>
  <c r="B33" i="5"/>
  <c r="B32" i="5"/>
  <c r="B30" i="5"/>
  <c r="B29" i="5"/>
  <c r="B28" i="5"/>
  <c r="B26" i="5"/>
  <c r="B25" i="5"/>
  <c r="B23" i="5"/>
  <c r="B17" i="5"/>
  <c r="B16" i="5"/>
  <c r="B15" i="5"/>
  <c r="B13" i="5"/>
  <c r="B12" i="5"/>
  <c r="B4" i="5"/>
  <c r="B5" i="5"/>
  <c r="B8" i="5"/>
  <c r="B11" i="5"/>
  <c r="B10" i="5"/>
  <c r="B9" i="5"/>
  <c r="B91" i="5"/>
  <c r="B92" i="5"/>
  <c r="B93" i="5"/>
  <c r="B94" i="5"/>
  <c r="B95" i="5"/>
  <c r="B96" i="5"/>
  <c r="B97" i="5"/>
  <c r="B98" i="5"/>
  <c r="B99" i="5"/>
  <c r="O2" i="5"/>
</calcChain>
</file>

<file path=xl/sharedStrings.xml><?xml version="1.0" encoding="utf-8"?>
<sst xmlns="http://schemas.openxmlformats.org/spreadsheetml/2006/main" count="290" uniqueCount="167">
  <si>
    <t>GWF Quality Notification Tracking 2026</t>
  </si>
  <si>
    <t>QN-Nr.</t>
  </si>
  <si>
    <t>PSW (Serie/Projekt)</t>
  </si>
  <si>
    <t>Artikelnummer</t>
  </si>
  <si>
    <t>Artikelbezeichnung</t>
  </si>
  <si>
    <t>Lieferanten-Nr</t>
  </si>
  <si>
    <t>Lieferant</t>
  </si>
  <si>
    <t>Begründung</t>
  </si>
  <si>
    <t>Massnahmen</t>
  </si>
  <si>
    <t>Freigabe bis / oder Menge</t>
  </si>
  <si>
    <t xml:space="preserve">Verantwortung
</t>
  </si>
  <si>
    <t>Doku</t>
  </si>
  <si>
    <t>Status</t>
  </si>
  <si>
    <t>Tracking</t>
  </si>
  <si>
    <t>26-001</t>
  </si>
  <si>
    <t>26-002</t>
  </si>
  <si>
    <t>26-003</t>
  </si>
  <si>
    <t>Serie</t>
  </si>
  <si>
    <t>57.0006</t>
  </si>
  <si>
    <t>Electronic register hybrid (ERH) 868MHz</t>
  </si>
  <si>
    <t>n/a</t>
  </si>
  <si>
    <t>GWF</t>
  </si>
  <si>
    <t>An issue has been found to ERH released FW V2.4.7.
There are 2.400 devices already manufactured in Escatec with V2.4.7 that we need to rework and ship to EVN + extra 3.600 devices ordered in Escatec with FW version 2.4.12 solving the issue (ordered before STC)</t>
  </si>
  <si>
    <t>Conditional Release FW version solving the issue and release to production</t>
  </si>
  <si>
    <t>IMA</t>
  </si>
  <si>
    <t>offen</t>
  </si>
  <si>
    <t>26-004</t>
  </si>
  <si>
    <t>Temperature calibration issue causing RTC drift</t>
  </si>
  <si>
    <t>Conitional release only for LoRa configuration</t>
  </si>
  <si>
    <t>26-005</t>
  </si>
  <si>
    <t>1F14</t>
  </si>
  <si>
    <t>UNICO2compact IP68 NSF</t>
  </si>
  <si>
    <t xml:space="preserve">Variant UNICO2compact IP68 for US was not enabled in ERP configurator and not released. </t>
  </si>
  <si>
    <t xml:space="preserve">Release this version in Konfigurator and make 
specific Laufkarte for this version only </t>
  </si>
  <si>
    <t>STH</t>
  </si>
  <si>
    <t>26-006</t>
  </si>
  <si>
    <t>12.120002/12.120020</t>
  </si>
  <si>
    <t>Messeinsatz Unter-/Oberteil Qn 3.5</t>
  </si>
  <si>
    <t>Nimoulda</t>
  </si>
  <si>
    <t>Due to the delay in the release of the new tool, material availability must be ensured.</t>
  </si>
  <si>
    <t>Produce a small quantity of parts with the old tool to meet customer demand.</t>
  </si>
  <si>
    <t>2000</t>
  </si>
  <si>
    <t>AZE</t>
  </si>
  <si>
    <t>26-007</t>
  </si>
  <si>
    <t>2235.11020</t>
  </si>
  <si>
    <t>Sonico Nano</t>
  </si>
  <si>
    <t>AMS</t>
  </si>
  <si>
    <t>26-008</t>
  </si>
  <si>
    <t>12.160010/12.160011</t>
  </si>
  <si>
    <t>Messeinsatz Unter-/Oberteil Qn 6</t>
  </si>
  <si>
    <t>26-009</t>
  </si>
  <si>
    <t>55.000003</t>
  </si>
  <si>
    <t>OWG LSW</t>
  </si>
  <si>
    <t>Escatec</t>
  </si>
  <si>
    <t>Measurment differences between Wisiontool and Escatec</t>
  </si>
  <si>
    <t>Fit and function test of OWG with these wheels</t>
  </si>
  <si>
    <t>56000</t>
  </si>
  <si>
    <t>SCI</t>
  </si>
  <si>
    <t>abgeschlossen</t>
  </si>
  <si>
    <t>26-010</t>
  </si>
  <si>
    <t>53.000012</t>
  </si>
  <si>
    <t>General Wheels</t>
  </si>
  <si>
    <t>M2 tool Qualification</t>
  </si>
  <si>
    <t xml:space="preserve">new tool M2 at Nimoulda </t>
  </si>
  <si>
    <t>TTE</t>
  </si>
  <si>
    <t>26-015</t>
  </si>
  <si>
    <t>29.002323</t>
  </si>
  <si>
    <t xml:space="preserve">Unico 4-Buchse </t>
  </si>
  <si>
    <t>Auf der Unico 4-Buchse 29.002323 aus dem alten Werkzeug/der alten Kavität 1 befindet sich ein 
zusätzlicher Grat/eine zusätzliche Stufe von 0,13 mm. Es werden dringend 200–300 benötigt  bis das neue Werkzeug freigegeben wird. Aus technischer Sicht ist dies akzeptabel. Wir sehen kein Risiko.
Danach wird dieses Werkzeug ausgemustert.</t>
  </si>
  <si>
    <t xml:space="preserve">Nach der Produktion von 200 -300 Stk./ Kavität 1 
wird dieses Werkzeug ausgemustert. </t>
  </si>
  <si>
    <t>LKR</t>
  </si>
  <si>
    <t>26-016</t>
  </si>
  <si>
    <t>44.xxxx</t>
  </si>
  <si>
    <t>Encoder HRE-CH IP68</t>
  </si>
  <si>
    <t>When applying pressure on glass, the encoder stopts turning</t>
  </si>
  <si>
    <t>Production stop of water meters with HRE-CH IP68 encoders</t>
  </si>
  <si>
    <t>26-017</t>
  </si>
  <si>
    <t>Einstrahl-Wasserzähler UNICO® mit RCM-H200 915 MHz</t>
  </si>
  <si>
    <t>Automation Industries Pty Ltd</t>
  </si>
  <si>
    <r>
      <t xml:space="preserve">Wasserzeichenmarkierung „Bleifrei“ (LF) für FA. Automation Industries. 
Nachbearbeitung des WO00135802/ SO00076062, PO 54796 (530 Stk.) um die Wasserzeichenmarkierung </t>
    </r>
    <r>
      <rPr>
        <b/>
        <sz val="11"/>
        <color theme="1"/>
        <rFont val="Calibri"/>
        <family val="2"/>
        <scheme val="minor"/>
      </rPr>
      <t>LF</t>
    </r>
    <r>
      <rPr>
        <sz val="11"/>
        <color theme="1"/>
        <rFont val="Calibri"/>
        <family val="2"/>
        <scheme val="minor"/>
      </rPr>
      <t xml:space="preserve"> nachträglich erstellen. </t>
    </r>
  </si>
  <si>
    <r>
      <t xml:space="preserve">Nachbearbeitung des WO00135802/ SO00076062, PO 54796 (530 Stk.) um die Wasserzeichenmarkierung </t>
    </r>
    <r>
      <rPr>
        <b/>
        <sz val="12"/>
        <color theme="1"/>
        <rFont val="Arial Narrow"/>
        <family val="2"/>
      </rPr>
      <t>LF</t>
    </r>
    <r>
      <rPr>
        <sz val="12"/>
        <color theme="1"/>
        <rFont val="Arial Narrow"/>
        <family val="2"/>
      </rPr>
      <t xml:space="preserve"> nachträglich erstellen. </t>
    </r>
  </si>
  <si>
    <t>freigegeben</t>
  </si>
  <si>
    <t>26-018</t>
  </si>
  <si>
    <t>26-019</t>
  </si>
  <si>
    <t>26-011</t>
  </si>
  <si>
    <t>26-012</t>
  </si>
  <si>
    <t>26-013</t>
  </si>
  <si>
    <t>26-014</t>
  </si>
  <si>
    <t>53.000023</t>
  </si>
  <si>
    <t>44.000019</t>
  </si>
  <si>
    <t>47.000020</t>
  </si>
  <si>
    <t>47.000025</t>
  </si>
  <si>
    <t>Lower Bearing Plate V8</t>
  </si>
  <si>
    <t>Non CTF Dimension (28.1~28.7) near to minimum side.</t>
  </si>
  <si>
    <t>tool repair</t>
  </si>
  <si>
    <t>N/A</t>
  </si>
  <si>
    <t>26-020</t>
  </si>
  <si>
    <t>26-021</t>
  </si>
  <si>
    <t>Lower Frame V8</t>
  </si>
  <si>
    <t>Non CTF Dimension (189 A~189 E) OOS issue</t>
  </si>
  <si>
    <t>Flash on location A.B.C</t>
  </si>
  <si>
    <t>Protection Lids</t>
  </si>
  <si>
    <t>Lydia Gear</t>
  </si>
  <si>
    <t>venting pin shoulder broken and stuck at sub insert. (Refer the photo below).</t>
  </si>
  <si>
    <t>26-022</t>
  </si>
  <si>
    <t>26-023</t>
  </si>
  <si>
    <t>26-024</t>
  </si>
  <si>
    <t>26-025</t>
  </si>
  <si>
    <t>Release ERH to EVN with known issues open</t>
  </si>
  <si>
    <t>Conditional release to EVN only after considering risk to release</t>
  </si>
  <si>
    <t>26-026</t>
  </si>
  <si>
    <t>26-027</t>
  </si>
  <si>
    <t>26-032</t>
  </si>
  <si>
    <t>1F20</t>
  </si>
  <si>
    <t>Mehrstrahl-Hauswasserzähler MTK</t>
  </si>
  <si>
    <t>Sonderfreigabe für  0-Serie, SO00083512</t>
  </si>
  <si>
    <t xml:space="preserve">26-033 </t>
  </si>
  <si>
    <t xml:space="preserve">44.000020-M1 </t>
  </si>
  <si>
    <t xml:space="preserve">HRE-CH Lower Frame </t>
  </si>
  <si>
    <t xml:space="preserve">Escatec </t>
  </si>
  <si>
    <t>STI</t>
  </si>
  <si>
    <t xml:space="preserve">offen </t>
  </si>
  <si>
    <t>Ein Einsatz ist kaputt. An den Teilen fehlt ein Loch. Werkzeug anhalten bis zur Reparatur.</t>
  </si>
  <si>
    <t>26-034</t>
  </si>
  <si>
    <t>44.1XXX</t>
  </si>
  <si>
    <t>Nutzung Resus V8 Bevel Gear vertical in HRE-CH</t>
  </si>
  <si>
    <t>Niederigere Widerstand mit diese Bevel Gear</t>
  </si>
  <si>
    <t>Tool repair</t>
  </si>
  <si>
    <t>26-035</t>
  </si>
  <si>
    <t>Nutzung Resus V8 Lower Frame in HRE-CH</t>
  </si>
  <si>
    <t>HRE-CH Lower Frame tool is broken, so we need to use Resus V8 Lower Frame to be able to continue our production</t>
  </si>
  <si>
    <t>26-036</t>
  </si>
  <si>
    <t>1F16 V000029748
1F16 V000029749</t>
  </si>
  <si>
    <t>26-028</t>
  </si>
  <si>
    <t>26-029</t>
  </si>
  <si>
    <t>26-030</t>
  </si>
  <si>
    <t>26-031</t>
  </si>
  <si>
    <t xml:space="preserve">26-037 </t>
  </si>
  <si>
    <t>46.100006</t>
  </si>
  <si>
    <t xml:space="preserve">GWF AE5 Light Shield </t>
  </si>
  <si>
    <t xml:space="preserve">STI </t>
  </si>
  <si>
    <t xml:space="preserve">Open </t>
  </si>
  <si>
    <t>Part has flash issue at Cav 1,2,3,4,</t>
  </si>
  <si>
    <t>26-038</t>
  </si>
  <si>
    <t>53.000002</t>
  </si>
  <si>
    <t>Lydia Stack Cover M2</t>
  </si>
  <si>
    <t xml:space="preserve">Cav 8 has shining surface on produce part. </t>
  </si>
  <si>
    <t>26-040</t>
  </si>
  <si>
    <t>GND-Kontaktplatte</t>
  </si>
  <si>
    <t>Bohao Prototype Manufacturing Co., Limited</t>
  </si>
  <si>
    <t xml:space="preserve">Maße   (13, 15 und 21) außerhalb der Toleranzen. </t>
  </si>
  <si>
    <t>26-041</t>
  </si>
  <si>
    <t>HRE-CH IP68, Jroyal coppe cup instead of Oshiba copper cup</t>
  </si>
  <si>
    <t>The Oshiba copper cups in stock at Escatec are NOK</t>
  </si>
  <si>
    <t>Use Jroyal copper cup</t>
  </si>
  <si>
    <t>47.000115</t>
  </si>
  <si>
    <t>26-042</t>
  </si>
  <si>
    <t xml:space="preserve">V8 Lower Frame </t>
  </si>
  <si>
    <t xml:space="preserve">Flash on different spots. </t>
  </si>
  <si>
    <t xml:space="preserve">Tool stop and repair </t>
  </si>
  <si>
    <t>Open</t>
  </si>
  <si>
    <t>26-043</t>
  </si>
  <si>
    <t>12.110008</t>
  </si>
  <si>
    <t>Flügelrad kpl. MTH3 Qn 1,5/2,5 PPS</t>
  </si>
  <si>
    <t>Janz/ Nimoulda</t>
  </si>
  <si>
    <t>Flügelrad Ø angepasst</t>
  </si>
  <si>
    <t>SO00087546 – 8 Stk (LT 15.09.2026)
SO00088760 – 1 Stk (LT 16.09.2026)
SO00089061 – 1 Stk (LT 18.09.2026)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</si>
</sst>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sz val="10"/>
      <color theme="1"/>
      <name val="Arial"/>
      <family val="2"/>
    </font>
    <font>
      <sz val="12"/>
      <name val="Arial"/>
      <family val="2"/>
    </font>
    <font>
      <b/>
      <sz val="11"/>
      <color theme="1"/>
      <name val="Calibri"/>
      <family val="2"/>
      <scheme val="minor"/>
    </font>
    <font>
      <b/>
      <sz val="18"/>
      <color theme="0"/>
      <name val="Arial Narrow"/>
      <family val="2"/>
    </font>
    <font>
      <b/>
      <sz val="12"/>
      <color theme="0"/>
      <name val="Arial Narrow"/>
      <family val="2"/>
    </font>
    <font>
      <sz val="12"/>
      <color theme="0"/>
      <name val="Arial Narrow"/>
      <family val="2"/>
    </font>
    <font>
      <sz val="12"/>
      <color theme="1"/>
      <name val="Arial Narrow"/>
      <family val="2"/>
    </font>
    <font>
      <sz val="8"/>
      <name val="Calibri"/>
      <family val="2"/>
      <scheme val="minor"/>
    </font>
    <font>
      <sz val="11"/>
      <color theme="1"/>
      <name val="Arial Narrow"/>
      <family val="2"/>
    </font>
    <font>
      <strike/>
      <sz val="11"/>
      <color theme="1"/>
      <name val="Calibri"/>
      <family val="2"/>
      <scheme val="minor"/>
    </font>
    <font>
      <strike/>
      <sz val="12"/>
      <color theme="1"/>
      <name val="Arial Narrow"/>
      <family val="2"/>
    </font>
    <font>
      <sz val="12"/>
      <color theme="1"/>
      <name val="Arial Narrow"/>
    </font>
    <font>
      <b/>
      <sz val="12"/>
      <color theme="1"/>
      <name val="Arial Narrow"/>
      <family val="2"/>
    </font>
    <font>
      <sz val="8"/>
      <color theme="1"/>
      <name val="Arial"/>
    </font>
  </fonts>
  <fills count="5">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4" tint="-0.49998474074526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theme="0" tint="-0.249977111117893"/>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medium">
        <color indexed="64"/>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5">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xf numFmtId="0" fontId="3" fillId="0" borderId="0"/>
  </cellStyleXfs>
  <cellXfs count="74">
    <xf numFmtId="0" fontId="0" fillId="0" borderId="0" xfId="0"/>
    <xf numFmtId="0" fontId="0" fillId="2" borderId="0" xfId="0" applyFill="1" applyAlignment="1">
      <alignment wrapText="1"/>
    </xf>
    <xf numFmtId="0" fontId="0" fillId="2" borderId="0" xfId="0" applyFill="1"/>
    <xf numFmtId="9" fontId="0" fillId="2" borderId="0" xfId="1" applyFont="1" applyFill="1"/>
    <xf numFmtId="0" fontId="0" fillId="0" borderId="0" xfId="0" applyAlignment="1">
      <alignment wrapText="1"/>
    </xf>
    <xf numFmtId="9" fontId="0" fillId="0" borderId="0" xfId="1" applyFont="1"/>
    <xf numFmtId="0" fontId="4" fillId="2" borderId="0" xfId="0" applyFont="1" applyFill="1"/>
    <xf numFmtId="0" fontId="0" fillId="2" borderId="0" xfId="0" applyFill="1" applyAlignment="1">
      <alignment horizontal="left"/>
    </xf>
    <xf numFmtId="0" fontId="4" fillId="0" borderId="0" xfId="0" applyFont="1"/>
    <xf numFmtId="0" fontId="0" fillId="0" borderId="0" xfId="0" applyAlignment="1">
      <alignment horizontal="left"/>
    </xf>
    <xf numFmtId="0" fontId="5" fillId="4" borderId="2" xfId="0" applyFont="1" applyFill="1" applyBorder="1" applyAlignment="1">
      <alignment vertical="center"/>
    </xf>
    <xf numFmtId="0" fontId="6" fillId="4" borderId="2" xfId="0" applyFont="1" applyFill="1" applyBorder="1" applyAlignment="1">
      <alignment horizontal="right" vertical="center"/>
    </xf>
    <xf numFmtId="14" fontId="7" fillId="4" borderId="4" xfId="0" applyNumberFormat="1" applyFont="1" applyFill="1" applyBorder="1" applyAlignment="1">
      <alignment horizontal="center" vertical="center"/>
    </xf>
    <xf numFmtId="0" fontId="6" fillId="3" borderId="7" xfId="0" applyFont="1" applyFill="1" applyBorder="1" applyAlignment="1">
      <alignment horizontal="center" vertical="top" wrapText="1"/>
    </xf>
    <xf numFmtId="0" fontId="6" fillId="3" borderId="5" xfId="0" applyFont="1" applyFill="1" applyBorder="1" applyAlignment="1">
      <alignment horizontal="center" vertical="top" wrapText="1"/>
    </xf>
    <xf numFmtId="0" fontId="6" fillId="3" borderId="8" xfId="0" applyFont="1" applyFill="1" applyBorder="1" applyAlignment="1">
      <alignment horizontal="center" vertical="top" wrapText="1"/>
    </xf>
    <xf numFmtId="0" fontId="8" fillId="0" borderId="0" xfId="0" applyFont="1" applyAlignment="1">
      <alignment horizontal="left" vertical="top"/>
    </xf>
    <xf numFmtId="0" fontId="8" fillId="0" borderId="0" xfId="0" applyFont="1" applyAlignment="1">
      <alignment horizontal="left" vertical="top" wrapText="1"/>
    </xf>
    <xf numFmtId="49" fontId="8" fillId="0" borderId="0" xfId="0" applyNumberFormat="1" applyFont="1" applyAlignment="1">
      <alignment horizontal="left" vertical="top" wrapText="1"/>
    </xf>
    <xf numFmtId="0" fontId="8" fillId="2" borderId="0" xfId="0" applyFont="1" applyFill="1"/>
    <xf numFmtId="0" fontId="8" fillId="0" borderId="0" xfId="0" applyFont="1"/>
    <xf numFmtId="49" fontId="8" fillId="0" borderId="0" xfId="0" applyNumberFormat="1" applyFont="1"/>
    <xf numFmtId="0" fontId="8" fillId="0" borderId="0" xfId="0" applyFont="1" applyAlignment="1">
      <alignment horizontal="left"/>
    </xf>
    <xf numFmtId="9" fontId="8" fillId="0" borderId="0" xfId="1" applyFont="1"/>
    <xf numFmtId="0" fontId="10" fillId="0" borderId="0" xfId="0" applyFont="1" applyAlignment="1">
      <alignment horizontal="left"/>
    </xf>
    <xf numFmtId="0" fontId="8" fillId="0" borderId="0" xfId="0" applyFont="1" applyAlignment="1">
      <alignment horizontal="left" wrapText="1"/>
    </xf>
    <xf numFmtId="9" fontId="8" fillId="0" borderId="0" xfId="1" applyFont="1" applyAlignment="1">
      <alignment horizontal="left"/>
    </xf>
    <xf numFmtId="9" fontId="10" fillId="0" borderId="0" xfId="1" applyFont="1" applyAlignment="1">
      <alignment horizontal="left"/>
    </xf>
    <xf numFmtId="9" fontId="0" fillId="0" borderId="0" xfId="1" applyFont="1" applyAlignment="1">
      <alignment horizontal="left"/>
    </xf>
    <xf numFmtId="49" fontId="8" fillId="0" borderId="0" xfId="0" applyNumberFormat="1" applyFont="1" applyAlignment="1">
      <alignment horizontal="left"/>
    </xf>
    <xf numFmtId="49" fontId="4" fillId="2" borderId="0" xfId="0" applyNumberFormat="1" applyFont="1" applyFill="1"/>
    <xf numFmtId="49" fontId="6" fillId="3" borderId="5" xfId="0" applyNumberFormat="1" applyFont="1" applyFill="1" applyBorder="1" applyAlignment="1">
      <alignment horizontal="center" vertical="top" wrapText="1"/>
    </xf>
    <xf numFmtId="49" fontId="4" fillId="0" borderId="0" xfId="0" applyNumberFormat="1" applyFont="1"/>
    <xf numFmtId="14" fontId="8" fillId="0" borderId="0" xfId="0" applyNumberFormat="1" applyFont="1" applyAlignment="1">
      <alignment horizontal="left"/>
    </xf>
    <xf numFmtId="49" fontId="8" fillId="0" borderId="0" xfId="0" applyNumberFormat="1" applyFont="1" applyAlignment="1">
      <alignment horizontal="left" wrapText="1"/>
    </xf>
    <xf numFmtId="0" fontId="10" fillId="0" borderId="0" xfId="0" applyFont="1" applyAlignment="1">
      <alignment horizontal="left" wrapText="1"/>
    </xf>
    <xf numFmtId="0" fontId="10" fillId="0" borderId="0" xfId="0" applyFont="1" applyAlignment="1">
      <alignment vertical="center"/>
    </xf>
    <xf numFmtId="0" fontId="11" fillId="2" borderId="0" xfId="0" applyFont="1" applyFill="1"/>
    <xf numFmtId="0" fontId="11" fillId="0" borderId="0" xfId="0" applyFont="1"/>
    <xf numFmtId="14" fontId="11" fillId="0" borderId="0" xfId="0" applyNumberFormat="1" applyFont="1" applyAlignment="1">
      <alignment horizontal="left"/>
    </xf>
    <xf numFmtId="14" fontId="0" fillId="0" borderId="0" xfId="0" applyNumberFormat="1" applyAlignment="1">
      <alignment horizontal="left"/>
    </xf>
    <xf numFmtId="49" fontId="0" fillId="0" borderId="0" xfId="0" applyNumberFormat="1"/>
    <xf numFmtId="49" fontId="0" fillId="0" borderId="0" xfId="0" applyNumberFormat="1" applyAlignment="1">
      <alignment wrapText="1"/>
    </xf>
    <xf numFmtId="9" fontId="1" fillId="0" borderId="0" xfId="1" applyFont="1" applyAlignment="1"/>
    <xf numFmtId="0" fontId="10" fillId="0" borderId="0" xfId="0" applyFont="1"/>
    <xf numFmtId="17" fontId="8" fillId="0" borderId="0" xfId="0" applyNumberFormat="1" applyFont="1" applyAlignment="1">
      <alignment horizontal="left"/>
    </xf>
    <xf numFmtId="0" fontId="6" fillId="3" borderId="6" xfId="0" applyFont="1" applyFill="1" applyBorder="1" applyAlignment="1">
      <alignment horizontal="center" wrapText="1"/>
    </xf>
    <xf numFmtId="0" fontId="8" fillId="2" borderId="3" xfId="0" applyFont="1" applyFill="1" applyBorder="1"/>
    <xf numFmtId="0" fontId="12" fillId="2" borderId="3" xfId="0" applyFont="1" applyFill="1" applyBorder="1"/>
    <xf numFmtId="0" fontId="10" fillId="0" borderId="0" xfId="0" applyFont="1" applyAlignment="1">
      <alignment horizontal="left" vertical="center"/>
    </xf>
    <xf numFmtId="0" fontId="8" fillId="0" borderId="0" xfId="0" applyFont="1" applyAlignment="1">
      <alignment horizontal="left" vertical="center"/>
    </xf>
    <xf numFmtId="49" fontId="8" fillId="0" borderId="0" xfId="0" applyNumberFormat="1" applyFont="1" applyAlignment="1">
      <alignment horizontal="left" vertical="center"/>
    </xf>
    <xf numFmtId="0" fontId="8" fillId="0" borderId="0" xfId="0" applyFont="1" applyAlignment="1">
      <alignment horizontal="left" vertical="center" wrapText="1"/>
    </xf>
    <xf numFmtId="3" fontId="0" fillId="0" borderId="0" xfId="0" applyNumberFormat="1" applyAlignment="1">
      <alignment horizontal="left" vertical="center"/>
    </xf>
    <xf numFmtId="0" fontId="8" fillId="0" borderId="0" xfId="0" applyFont="1" applyAlignment="1">
      <alignment vertical="center"/>
    </xf>
    <xf numFmtId="0" fontId="0" fillId="0" borderId="0" xfId="0" applyAlignment="1">
      <alignment vertical="center"/>
    </xf>
    <xf numFmtId="9" fontId="0" fillId="0" borderId="0" xfId="1" applyFont="1" applyAlignment="1">
      <alignment vertical="center"/>
    </xf>
    <xf numFmtId="9" fontId="8" fillId="0" borderId="0" xfId="1" applyFont="1" applyAlignment="1">
      <alignment horizontal="left" vertical="center"/>
    </xf>
    <xf numFmtId="0" fontId="13" fillId="0" borderId="0" xfId="0" applyFont="1" applyAlignment="1">
      <alignment horizontal="left"/>
    </xf>
    <xf numFmtId="49" fontId="13" fillId="0" borderId="0" xfId="0" applyNumberFormat="1" applyFont="1" applyAlignment="1">
      <alignment horizontal="left" wrapText="1"/>
    </xf>
    <xf numFmtId="0" fontId="13" fillId="0" borderId="0" xfId="0" applyFont="1" applyAlignment="1">
      <alignment horizontal="left" wrapText="1"/>
    </xf>
    <xf numFmtId="0" fontId="13" fillId="0" borderId="0" xfId="0" applyFont="1"/>
    <xf numFmtId="3" fontId="0" fillId="0" borderId="0" xfId="0" applyNumberFormat="1" applyAlignment="1">
      <alignment horizontal="left"/>
    </xf>
    <xf numFmtId="0" fontId="13" fillId="0" borderId="0" xfId="0" applyFont="1" applyAlignment="1">
      <alignment horizontal="left" vertical="top" wrapText="1"/>
    </xf>
    <xf numFmtId="0" fontId="0" fillId="0" borderId="0" xfId="0" applyAlignment="1">
      <alignment horizontal="left" wrapText="1"/>
    </xf>
    <xf numFmtId="0" fontId="0" fillId="0" borderId="0" xfId="0" applyAlignment="1">
      <alignment horizontal="left" vertical="center"/>
    </xf>
    <xf numFmtId="49" fontId="13" fillId="0" borderId="0" xfId="0" applyNumberFormat="1" applyFont="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vertical="center"/>
    </xf>
    <xf numFmtId="9" fontId="0" fillId="0" borderId="0" xfId="1" applyFont="1" applyAlignment="1">
      <alignment horizontal="left" vertical="center"/>
    </xf>
    <xf numFmtId="16" fontId="8" fillId="0" borderId="0" xfId="0" applyNumberFormat="1" applyFont="1" applyAlignment="1">
      <alignment horizontal="left"/>
    </xf>
    <xf numFmtId="0" fontId="15" fillId="0" borderId="0" xfId="0" applyFont="1"/>
    <xf numFmtId="0" fontId="5" fillId="4" borderId="1" xfId="0" applyFont="1" applyFill="1" applyBorder="1" applyAlignment="1">
      <alignment vertical="center"/>
    </xf>
    <xf numFmtId="0" fontId="5" fillId="4" borderId="2" xfId="0" applyFont="1" applyFill="1" applyBorder="1" applyAlignment="1">
      <alignment vertical="center"/>
    </xf>
  </cellXfs>
  <cellStyles count="5">
    <cellStyle name="Normal" xfId="0" builtinId="0"/>
    <cellStyle name="Percent" xfId="1" builtinId="5"/>
    <cellStyle name="Prozent 2" xfId="3" xr:uid="{00000000-0005-0000-0000-000001000000}"/>
    <cellStyle name="Standard 2" xfId="2" xr:uid="{00000000-0005-0000-0000-000003000000}"/>
    <cellStyle name="Standard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J99"/>
  <sheetViews>
    <sheetView tabSelected="1" zoomScale="70" zoomScaleNormal="70" workbookViewId="0">
      <pane xSplit="1" ySplit="3" topLeftCell="B4" activePane="bottomRight" state="frozen"/>
      <selection pane="topRight" activeCell="B1" sqref="B1"/>
      <selection pane="bottomLeft" activeCell="A4" sqref="A4"/>
      <selection pane="bottomRight" activeCell="I57" sqref="I57"/>
    </sheetView>
  </sheetViews>
  <sheetFormatPr defaultColWidth="11.3984375" defaultRowHeight="14.25" x14ac:dyDescent="0.45"/>
  <cols>
    <col min="1" max="1" width="1.3984375" style="2" customWidth="1"/>
    <col min="2" max="2" width="3.3984375" style="8" customWidth="1"/>
    <col min="3" max="3" width="9.3984375" style="8" customWidth="1"/>
    <col min="4" max="4" width="13.59765625" style="8" customWidth="1"/>
    <col min="5" max="5" width="24.59765625" style="32" customWidth="1"/>
    <col min="6" max="6" width="57.86328125" style="8" bestFit="1" customWidth="1"/>
    <col min="7" max="7" width="14.3984375" style="4" customWidth="1"/>
    <col min="8" max="8" width="39.86328125" style="9" customWidth="1"/>
    <col min="9" max="9" width="97.9296875" style="9" bestFit="1" customWidth="1"/>
    <col min="10" max="10" width="52.3984375" style="9" customWidth="1"/>
    <col min="11" max="11" width="37.3984375" style="9" customWidth="1"/>
    <col min="12" max="12" width="22.3984375" customWidth="1"/>
    <col min="13" max="13" width="15.59765625" customWidth="1"/>
    <col min="14" max="14" width="14.1328125" style="5" bestFit="1" customWidth="1"/>
    <col min="15" max="15" width="15.3984375" style="5" customWidth="1"/>
    <col min="16" max="16" width="0.59765625" style="2" customWidth="1"/>
    <col min="17" max="17" width="12.59765625" style="2" bestFit="1" customWidth="1"/>
    <col min="18" max="18" width="3.3984375" style="2" hidden="1" customWidth="1"/>
    <col min="19" max="19" width="12.59765625" style="2" customWidth="1"/>
    <col min="20" max="75" width="11.3984375" style="2"/>
  </cols>
  <sheetData>
    <row r="1" spans="1:114" s="2" customFormat="1" ht="15.75" customHeight="1" thickBot="1" x14ac:dyDescent="0.5">
      <c r="B1" s="6"/>
      <c r="C1" s="6"/>
      <c r="D1" s="6"/>
      <c r="E1" s="30"/>
      <c r="F1" s="6"/>
      <c r="G1" s="1"/>
      <c r="H1" s="7"/>
      <c r="I1" s="7"/>
      <c r="J1" s="7"/>
      <c r="K1" s="7"/>
      <c r="N1" s="3"/>
      <c r="O1" s="3"/>
    </row>
    <row r="2" spans="1:114" ht="61.35" customHeight="1" x14ac:dyDescent="0.45">
      <c r="B2" s="72" t="s">
        <v>0</v>
      </c>
      <c r="C2" s="73"/>
      <c r="D2" s="73"/>
      <c r="E2" s="73"/>
      <c r="F2" s="73"/>
      <c r="G2" s="73"/>
      <c r="H2" s="73"/>
      <c r="I2" s="73"/>
      <c r="J2" s="73"/>
      <c r="K2" s="73"/>
      <c r="L2" s="73"/>
      <c r="M2" s="10"/>
      <c r="N2" s="11"/>
      <c r="O2" s="12">
        <f ca="1">TODAY()</f>
        <v>46321</v>
      </c>
    </row>
    <row r="3" spans="1:114" s="2" customFormat="1" ht="38.85" customHeight="1" x14ac:dyDescent="0.45">
      <c r="B3" s="46"/>
      <c r="C3" s="13" t="s">
        <v>1</v>
      </c>
      <c r="D3" s="13" t="s">
        <v>2</v>
      </c>
      <c r="E3" s="31" t="s">
        <v>3</v>
      </c>
      <c r="F3" s="14" t="s">
        <v>4</v>
      </c>
      <c r="G3" s="14" t="s">
        <v>5</v>
      </c>
      <c r="H3" s="14" t="s">
        <v>6</v>
      </c>
      <c r="I3" s="14" t="s">
        <v>7</v>
      </c>
      <c r="J3" s="14" t="s">
        <v>8</v>
      </c>
      <c r="K3" s="14" t="s">
        <v>9</v>
      </c>
      <c r="L3" s="15" t="s">
        <v>10</v>
      </c>
      <c r="M3" s="15" t="s">
        <v>11</v>
      </c>
      <c r="N3" s="15" t="s">
        <v>12</v>
      </c>
      <c r="O3" s="15" t="s">
        <v>13</v>
      </c>
      <c r="BX3"/>
      <c r="BY3"/>
      <c r="BZ3"/>
      <c r="CA3"/>
      <c r="CB3"/>
      <c r="CC3"/>
      <c r="CD3"/>
      <c r="CE3"/>
      <c r="CF3"/>
      <c r="CG3"/>
      <c r="CH3"/>
      <c r="CI3"/>
      <c r="CJ3"/>
      <c r="CK3"/>
      <c r="CL3"/>
      <c r="CM3"/>
      <c r="CN3"/>
      <c r="CO3"/>
      <c r="CP3"/>
      <c r="CQ3"/>
      <c r="CR3"/>
      <c r="CS3"/>
      <c r="CT3"/>
      <c r="CU3"/>
      <c r="CV3"/>
      <c r="CW3"/>
      <c r="CX3"/>
      <c r="CY3"/>
      <c r="CZ3"/>
      <c r="DA3"/>
      <c r="DB3"/>
      <c r="DC3"/>
      <c r="DD3"/>
      <c r="DE3"/>
      <c r="DF3"/>
      <c r="DG3"/>
      <c r="DH3"/>
      <c r="DI3"/>
      <c r="DJ3"/>
    </row>
    <row r="4" spans="1:114" s="2" customFormat="1" ht="15.75" customHeight="1" x14ac:dyDescent="0.45">
      <c r="B4" s="47" t="str">
        <f t="shared" ref="B4:B14" si="0">IF(O4="","",IF(O4="offen",0,IF(O4="freigegeben",1.5,2)))</f>
        <v/>
      </c>
      <c r="C4" s="22" t="s">
        <v>14</v>
      </c>
      <c r="D4" s="22"/>
      <c r="E4" s="29"/>
      <c r="F4" s="22"/>
      <c r="G4" s="25"/>
      <c r="H4" s="22"/>
      <c r="I4" s="20"/>
      <c r="J4" s="22"/>
      <c r="K4" s="33"/>
      <c r="L4" s="22"/>
      <c r="M4" s="22"/>
      <c r="N4" s="26"/>
      <c r="O4" s="26"/>
      <c r="BX4"/>
      <c r="BY4"/>
      <c r="BZ4"/>
      <c r="CA4"/>
      <c r="CB4"/>
      <c r="CC4"/>
      <c r="CD4"/>
      <c r="CE4"/>
      <c r="CF4"/>
      <c r="CG4"/>
      <c r="CH4"/>
      <c r="CI4"/>
      <c r="CJ4"/>
      <c r="CK4"/>
      <c r="CL4"/>
      <c r="CM4"/>
      <c r="CN4"/>
      <c r="CO4"/>
      <c r="CP4"/>
      <c r="CQ4"/>
      <c r="CR4"/>
      <c r="CS4"/>
      <c r="CT4"/>
      <c r="CU4"/>
      <c r="CV4"/>
      <c r="CW4"/>
      <c r="CX4"/>
      <c r="CY4"/>
      <c r="CZ4"/>
      <c r="DA4"/>
      <c r="DB4"/>
      <c r="DC4"/>
      <c r="DD4"/>
      <c r="DE4"/>
      <c r="DF4"/>
      <c r="DG4"/>
      <c r="DH4"/>
      <c r="DI4"/>
      <c r="DJ4"/>
    </row>
    <row r="5" spans="1:114" ht="15.4" x14ac:dyDescent="0.45">
      <c r="B5" s="47" t="str">
        <f t="shared" si="0"/>
        <v/>
      </c>
      <c r="C5" s="58" t="s">
        <v>15</v>
      </c>
      <c r="D5" s="16"/>
      <c r="E5" s="18"/>
      <c r="F5" s="17"/>
      <c r="G5" s="17"/>
      <c r="H5" s="17"/>
      <c r="I5" s="17"/>
      <c r="J5" s="17"/>
      <c r="K5" s="18"/>
      <c r="L5" s="17"/>
      <c r="M5" s="17"/>
      <c r="N5" s="23"/>
      <c r="O5" s="23"/>
    </row>
    <row r="6" spans="1:114" ht="45.4" x14ac:dyDescent="0.45">
      <c r="B6" s="47"/>
      <c r="C6" s="58" t="s">
        <v>16</v>
      </c>
      <c r="D6" t="s">
        <v>17</v>
      </c>
      <c r="E6" s="59" t="s">
        <v>18</v>
      </c>
      <c r="F6" s="60" t="s">
        <v>19</v>
      </c>
      <c r="G6" s="60" t="s">
        <v>20</v>
      </c>
      <c r="H6" s="60" t="s">
        <v>21</v>
      </c>
      <c r="I6" s="60" t="s">
        <v>22</v>
      </c>
      <c r="J6" s="60" t="s">
        <v>23</v>
      </c>
      <c r="K6" s="62">
        <v>6000</v>
      </c>
      <c r="L6" s="61" t="s">
        <v>24</v>
      </c>
      <c r="N6" s="5" t="s">
        <v>25</v>
      </c>
      <c r="O6" s="5" t="s">
        <v>25</v>
      </c>
    </row>
    <row r="7" spans="1:114" ht="15.4" x14ac:dyDescent="0.45">
      <c r="B7" s="47"/>
      <c r="C7" s="16" t="s">
        <v>26</v>
      </c>
      <c r="D7" t="s">
        <v>17</v>
      </c>
      <c r="E7" s="59" t="s">
        <v>18</v>
      </c>
      <c r="F7" s="60" t="s">
        <v>19</v>
      </c>
      <c r="G7" s="60" t="s">
        <v>20</v>
      </c>
      <c r="H7" s="60" t="s">
        <v>21</v>
      </c>
      <c r="I7" s="17" t="s">
        <v>27</v>
      </c>
      <c r="J7" s="17" t="s">
        <v>28</v>
      </c>
      <c r="K7" s="62">
        <v>6000</v>
      </c>
      <c r="L7" s="61" t="s">
        <v>24</v>
      </c>
      <c r="M7" s="17"/>
      <c r="N7" s="5" t="s">
        <v>25</v>
      </c>
      <c r="O7" s="5" t="s">
        <v>25</v>
      </c>
    </row>
    <row r="8" spans="1:114" s="20" customFormat="1" ht="30" x14ac:dyDescent="0.4">
      <c r="A8" s="19"/>
      <c r="B8" s="47">
        <f t="shared" si="0"/>
        <v>0</v>
      </c>
      <c r="C8" s="16" t="s">
        <v>29</v>
      </c>
      <c r="D8" s="16" t="s">
        <v>17</v>
      </c>
      <c r="E8" s="21" t="s">
        <v>30</v>
      </c>
      <c r="F8" s="20" t="s">
        <v>31</v>
      </c>
      <c r="G8" s="17" t="s">
        <v>20</v>
      </c>
      <c r="H8" s="17" t="s">
        <v>21</v>
      </c>
      <c r="I8" s="22" t="s">
        <v>32</v>
      </c>
      <c r="J8" s="25" t="s">
        <v>33</v>
      </c>
      <c r="K8" s="22">
        <v>1200</v>
      </c>
      <c r="L8" s="20" t="s">
        <v>34</v>
      </c>
      <c r="N8" s="23" t="s">
        <v>25</v>
      </c>
      <c r="O8" s="23" t="s">
        <v>25</v>
      </c>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row>
    <row r="9" spans="1:114" ht="30.4" x14ac:dyDescent="0.45">
      <c r="B9" s="47">
        <f t="shared" si="0"/>
        <v>0</v>
      </c>
      <c r="C9" s="22" t="s">
        <v>35</v>
      </c>
      <c r="D9" s="22" t="s">
        <v>17</v>
      </c>
      <c r="E9" s="42" t="s">
        <v>36</v>
      </c>
      <c r="F9" s="63" t="s">
        <v>37</v>
      </c>
      <c r="G9" s="25">
        <v>9131170</v>
      </c>
      <c r="H9" s="25" t="s">
        <v>38</v>
      </c>
      <c r="I9" s="22" t="s">
        <v>39</v>
      </c>
      <c r="J9" s="25" t="s">
        <v>40</v>
      </c>
      <c r="K9" s="34" t="s">
        <v>41</v>
      </c>
      <c r="L9" s="22" t="s">
        <v>42</v>
      </c>
      <c r="M9" s="22"/>
      <c r="N9" s="23" t="s">
        <v>25</v>
      </c>
      <c r="O9" s="23" t="s">
        <v>25</v>
      </c>
    </row>
    <row r="10" spans="1:114" ht="15.4" x14ac:dyDescent="0.45">
      <c r="B10" s="47" t="str">
        <f t="shared" si="0"/>
        <v/>
      </c>
      <c r="C10" s="22" t="s">
        <v>43</v>
      </c>
      <c r="D10" s="22" t="s">
        <v>17</v>
      </c>
      <c r="E10" s="42" t="s">
        <v>44</v>
      </c>
      <c r="F10" s="17" t="s">
        <v>45</v>
      </c>
      <c r="H10" s="25" t="s">
        <v>46</v>
      </c>
      <c r="J10" s="22"/>
      <c r="K10" s="34"/>
      <c r="L10" s="22"/>
      <c r="M10" s="22"/>
      <c r="N10" s="23"/>
      <c r="O10" s="23"/>
    </row>
    <row r="11" spans="1:114" ht="15.75" customHeight="1" x14ac:dyDescent="0.45">
      <c r="B11" s="47">
        <f t="shared" si="0"/>
        <v>0</v>
      </c>
      <c r="C11" s="22" t="s">
        <v>47</v>
      </c>
      <c r="D11" s="22" t="s">
        <v>17</v>
      </c>
      <c r="E11" s="42" t="s">
        <v>48</v>
      </c>
      <c r="F11" s="17" t="s">
        <v>49</v>
      </c>
      <c r="G11" s="25">
        <v>9131170</v>
      </c>
      <c r="H11" s="25" t="s">
        <v>38</v>
      </c>
      <c r="I11" s="22" t="s">
        <v>39</v>
      </c>
      <c r="J11" s="60" t="s">
        <v>40</v>
      </c>
      <c r="K11" s="34" t="s">
        <v>41</v>
      </c>
      <c r="L11" s="22" t="s">
        <v>42</v>
      </c>
      <c r="M11" s="22"/>
      <c r="N11" s="23" t="s">
        <v>25</v>
      </c>
      <c r="O11" s="23" t="s">
        <v>25</v>
      </c>
    </row>
    <row r="12" spans="1:114" ht="15.4" x14ac:dyDescent="0.45">
      <c r="B12" s="47">
        <f t="shared" si="0"/>
        <v>2</v>
      </c>
      <c r="C12" s="22" t="s">
        <v>50</v>
      </c>
      <c r="D12" s="22" t="s">
        <v>17</v>
      </c>
      <c r="E12" s="42" t="s">
        <v>51</v>
      </c>
      <c r="F12" s="17" t="s">
        <v>52</v>
      </c>
      <c r="G12" s="25">
        <v>1322250</v>
      </c>
      <c r="H12" s="25" t="s">
        <v>53</v>
      </c>
      <c r="I12" s="22" t="s">
        <v>54</v>
      </c>
      <c r="J12" s="22" t="s">
        <v>55</v>
      </c>
      <c r="K12" s="34" t="s">
        <v>56</v>
      </c>
      <c r="L12" s="22" t="s">
        <v>57</v>
      </c>
      <c r="M12" s="22"/>
      <c r="N12" s="23" t="s">
        <v>58</v>
      </c>
      <c r="O12" s="23" t="s">
        <v>58</v>
      </c>
    </row>
    <row r="13" spans="1:114" ht="15.4" x14ac:dyDescent="0.45">
      <c r="B13" s="47">
        <f t="shared" si="0"/>
        <v>0</v>
      </c>
      <c r="C13" s="22" t="s">
        <v>59</v>
      </c>
      <c r="D13" s="22" t="s">
        <v>17</v>
      </c>
      <c r="E13" s="29" t="s">
        <v>60</v>
      </c>
      <c r="F13" s="22" t="s">
        <v>61</v>
      </c>
      <c r="G13" s="25">
        <v>9131170</v>
      </c>
      <c r="H13" s="22" t="s">
        <v>38</v>
      </c>
      <c r="I13" s="44" t="s">
        <v>62</v>
      </c>
      <c r="J13" s="22" t="s">
        <v>63</v>
      </c>
      <c r="K13" s="33">
        <v>46142</v>
      </c>
      <c r="L13" s="22" t="s">
        <v>64</v>
      </c>
      <c r="M13" s="22"/>
      <c r="N13" s="26" t="s">
        <v>25</v>
      </c>
      <c r="O13" s="26" t="s">
        <v>25</v>
      </c>
    </row>
    <row r="14" spans="1:114" ht="15.4" x14ac:dyDescent="0.45">
      <c r="B14" s="47">
        <f t="shared" si="0"/>
        <v>0</v>
      </c>
      <c r="C14" s="22" t="s">
        <v>84</v>
      </c>
      <c r="D14" s="22" t="s">
        <v>17</v>
      </c>
      <c r="E14" s="29" t="s">
        <v>88</v>
      </c>
      <c r="F14" s="8" t="s">
        <v>102</v>
      </c>
      <c r="G14" s="25">
        <v>1322250</v>
      </c>
      <c r="H14" s="17" t="s">
        <v>53</v>
      </c>
      <c r="I14" s="9" t="s">
        <v>103</v>
      </c>
      <c r="J14" s="9" t="s">
        <v>94</v>
      </c>
      <c r="K14" s="40" t="s">
        <v>95</v>
      </c>
      <c r="L14" s="22" t="s">
        <v>64</v>
      </c>
      <c r="N14" s="5" t="s">
        <v>25</v>
      </c>
      <c r="O14" s="5" t="s">
        <v>25</v>
      </c>
    </row>
    <row r="15" spans="1:114" ht="15.4" x14ac:dyDescent="0.45">
      <c r="B15" s="47">
        <f>IF(O15="","",IF(O15="offen",0,IF(O15="freigegeben",1.5,2)))</f>
        <v>0</v>
      </c>
      <c r="C15" s="22" t="s">
        <v>85</v>
      </c>
      <c r="D15" s="22" t="s">
        <v>17</v>
      </c>
      <c r="E15" s="18" t="s">
        <v>89</v>
      </c>
      <c r="F15" s="17" t="s">
        <v>101</v>
      </c>
      <c r="G15" s="25">
        <v>1322250</v>
      </c>
      <c r="H15" s="17" t="s">
        <v>53</v>
      </c>
      <c r="I15" s="17" t="s">
        <v>100</v>
      </c>
      <c r="J15" s="17" t="s">
        <v>94</v>
      </c>
      <c r="K15" s="18" t="s">
        <v>95</v>
      </c>
      <c r="L15" s="17" t="s">
        <v>64</v>
      </c>
      <c r="M15" s="22"/>
      <c r="N15" s="26" t="s">
        <v>25</v>
      </c>
      <c r="O15" s="26" t="s">
        <v>25</v>
      </c>
    </row>
    <row r="16" spans="1:114" ht="15.4" x14ac:dyDescent="0.45">
      <c r="B16" s="47">
        <f>IF(O16="","",IF(O16="offen",0,IF(O16="freigegeben",1.5,2)))</f>
        <v>0</v>
      </c>
      <c r="C16" s="22" t="s">
        <v>86</v>
      </c>
      <c r="D16" s="22" t="s">
        <v>17</v>
      </c>
      <c r="E16" s="29" t="s">
        <v>90</v>
      </c>
      <c r="F16" s="22" t="s">
        <v>98</v>
      </c>
      <c r="G16" s="25">
        <v>1322250</v>
      </c>
      <c r="H16" s="17" t="s">
        <v>53</v>
      </c>
      <c r="I16" s="17" t="s">
        <v>99</v>
      </c>
      <c r="J16" s="22" t="s">
        <v>94</v>
      </c>
      <c r="K16" s="22" t="s">
        <v>95</v>
      </c>
      <c r="L16" s="20" t="s">
        <v>64</v>
      </c>
      <c r="M16" s="22"/>
      <c r="N16" s="26" t="s">
        <v>25</v>
      </c>
      <c r="O16" s="26" t="s">
        <v>25</v>
      </c>
    </row>
    <row r="17" spans="2:15" ht="15.4" x14ac:dyDescent="0.45">
      <c r="B17" s="47">
        <f>IF(O17="","",IF(O17="offen",0,IF(O17="freigegeben",1.5,2)))</f>
        <v>0</v>
      </c>
      <c r="C17" s="22" t="s">
        <v>87</v>
      </c>
      <c r="D17" s="22" t="s">
        <v>17</v>
      </c>
      <c r="E17" s="29" t="s">
        <v>91</v>
      </c>
      <c r="F17" s="22" t="s">
        <v>92</v>
      </c>
      <c r="G17" s="25">
        <v>1322250</v>
      </c>
      <c r="H17" s="17" t="s">
        <v>53</v>
      </c>
      <c r="I17" s="22" t="s">
        <v>93</v>
      </c>
      <c r="J17" s="22" t="s">
        <v>94</v>
      </c>
      <c r="K17" s="33" t="s">
        <v>95</v>
      </c>
      <c r="L17" s="20" t="s">
        <v>64</v>
      </c>
      <c r="M17" s="22"/>
      <c r="N17" s="26" t="s">
        <v>25</v>
      </c>
      <c r="O17" s="26" t="s">
        <v>25</v>
      </c>
    </row>
    <row r="18" spans="2:15" ht="60.4" x14ac:dyDescent="0.45">
      <c r="B18" s="47">
        <f>IF(O18="","",IF(O18="offen",0,IF(O18="freigegeben",1.5,2)))</f>
        <v>0</v>
      </c>
      <c r="C18" s="22" t="s">
        <v>65</v>
      </c>
      <c r="D18" s="22" t="s">
        <v>17</v>
      </c>
      <c r="E18" s="29" t="s">
        <v>66</v>
      </c>
      <c r="F18" s="22" t="s">
        <v>67</v>
      </c>
      <c r="G18" s="25">
        <v>9131170</v>
      </c>
      <c r="H18" s="22" t="s">
        <v>38</v>
      </c>
      <c r="I18" s="25" t="s">
        <v>68</v>
      </c>
      <c r="J18" s="25" t="s">
        <v>69</v>
      </c>
      <c r="K18" s="22">
        <v>300</v>
      </c>
      <c r="L18" s="22" t="s">
        <v>70</v>
      </c>
      <c r="M18" s="22"/>
      <c r="N18" s="26" t="s">
        <v>25</v>
      </c>
      <c r="O18" s="26" t="s">
        <v>25</v>
      </c>
    </row>
    <row r="19" spans="2:15" ht="15.4" x14ac:dyDescent="0.45">
      <c r="B19" s="47" t="str">
        <f t="shared" ref="B19:B22" si="1">IF(O19="","",IF(O19="offen",0,IF(O19="freigegeben",1.5,2)))</f>
        <v/>
      </c>
      <c r="C19" s="22" t="s">
        <v>71</v>
      </c>
      <c r="D19" s="22" t="s">
        <v>17</v>
      </c>
      <c r="E19" s="29" t="s">
        <v>72</v>
      </c>
      <c r="F19" s="22" t="s">
        <v>73</v>
      </c>
      <c r="G19" s="25">
        <v>1322250</v>
      </c>
      <c r="H19" s="17" t="s">
        <v>53</v>
      </c>
      <c r="I19" s="22" t="s">
        <v>74</v>
      </c>
      <c r="J19" s="22" t="s">
        <v>75</v>
      </c>
      <c r="K19" s="40"/>
      <c r="L19" s="20" t="s">
        <v>70</v>
      </c>
      <c r="M19" s="22"/>
      <c r="N19" s="23" t="s">
        <v>25</v>
      </c>
      <c r="O19" s="23"/>
    </row>
    <row r="20" spans="2:15" ht="45.4" x14ac:dyDescent="0.45">
      <c r="B20" s="47" t="str">
        <f t="shared" si="1"/>
        <v/>
      </c>
      <c r="C20" s="22" t="s">
        <v>76</v>
      </c>
      <c r="D20" s="22" t="s">
        <v>17</v>
      </c>
      <c r="E20" s="29" t="s">
        <v>30</v>
      </c>
      <c r="F20" s="22" t="s">
        <v>77</v>
      </c>
      <c r="G20" s="4" t="s">
        <v>20</v>
      </c>
      <c r="H20" s="25" t="s">
        <v>78</v>
      </c>
      <c r="I20" s="64" t="s">
        <v>79</v>
      </c>
      <c r="J20" s="25" t="s">
        <v>80</v>
      </c>
      <c r="K20" s="22">
        <v>530</v>
      </c>
      <c r="L20" s="22" t="s">
        <v>70</v>
      </c>
      <c r="M20" s="22"/>
      <c r="N20" s="23"/>
      <c r="O20" s="23"/>
    </row>
    <row r="21" spans="2:15" ht="15.4" x14ac:dyDescent="0.45">
      <c r="B21" s="47" t="str">
        <f t="shared" si="1"/>
        <v/>
      </c>
      <c r="C21" s="22" t="s">
        <v>82</v>
      </c>
      <c r="D21" s="22" t="s">
        <v>17</v>
      </c>
      <c r="E21" s="29"/>
      <c r="F21" s="60"/>
      <c r="G21" s="25"/>
      <c r="H21" s="17"/>
      <c r="I21" s="64"/>
      <c r="J21" s="25"/>
      <c r="K21" s="33"/>
      <c r="L21" s="22"/>
      <c r="M21" s="22"/>
      <c r="N21" s="23"/>
      <c r="O21" s="23"/>
    </row>
    <row r="22" spans="2:15" ht="15.4" x14ac:dyDescent="0.45">
      <c r="B22" s="47" t="str">
        <f t="shared" si="1"/>
        <v/>
      </c>
      <c r="C22" s="22" t="s">
        <v>83</v>
      </c>
      <c r="D22" s="22" t="s">
        <v>17</v>
      </c>
      <c r="E22" s="29"/>
      <c r="F22" s="22"/>
      <c r="H22" s="25"/>
      <c r="J22" s="22"/>
      <c r="K22" s="22"/>
      <c r="L22" s="22"/>
      <c r="M22" s="22"/>
      <c r="N22" s="23"/>
      <c r="O22" s="23"/>
    </row>
    <row r="23" spans="2:15" ht="15.4" x14ac:dyDescent="0.45">
      <c r="B23" s="47" t="str">
        <f>IF(O23="","",IF(O23="offen",0,IF(O23="freigegeben",1.5,2)))</f>
        <v/>
      </c>
      <c r="C23" s="22" t="s">
        <v>96</v>
      </c>
      <c r="D23" s="22" t="s">
        <v>17</v>
      </c>
      <c r="E23" s="29"/>
      <c r="F23" s="22"/>
      <c r="G23" s="25"/>
      <c r="H23" s="22"/>
      <c r="I23" s="20"/>
      <c r="J23" s="22"/>
      <c r="K23" s="22"/>
      <c r="L23" s="22"/>
      <c r="M23" s="22"/>
      <c r="N23" s="26"/>
      <c r="O23" s="26"/>
    </row>
    <row r="24" spans="2:15" ht="15.4" x14ac:dyDescent="0.45">
      <c r="B24" s="47"/>
      <c r="C24" s="22" t="s">
        <v>97</v>
      </c>
      <c r="D24" s="22" t="s">
        <v>17</v>
      </c>
      <c r="E24" s="29"/>
      <c r="F24" s="22"/>
      <c r="G24" s="17"/>
      <c r="H24" s="17"/>
      <c r="I24" s="25"/>
      <c r="J24" s="25"/>
      <c r="K24" s="22"/>
      <c r="L24" s="20"/>
      <c r="M24" s="22"/>
      <c r="N24" s="26"/>
      <c r="O24" s="26"/>
    </row>
    <row r="25" spans="2:15" ht="15.4" x14ac:dyDescent="0.45">
      <c r="B25" s="47" t="str">
        <f t="shared" ref="B25:B26" si="2">IF(O25="","",IF(O25="offen",0,IF(O25="freigegeben",1.5,2)))</f>
        <v/>
      </c>
      <c r="C25" s="22" t="s">
        <v>104</v>
      </c>
      <c r="D25" s="22"/>
      <c r="E25" s="29"/>
      <c r="F25" s="22"/>
      <c r="G25" s="17"/>
      <c r="H25" s="25"/>
      <c r="I25" s="22"/>
      <c r="J25" s="22"/>
      <c r="K25" s="22"/>
      <c r="L25" s="20"/>
      <c r="M25" s="22"/>
      <c r="N25" s="26"/>
      <c r="O25" s="26"/>
    </row>
    <row r="26" spans="2:15" ht="15.4" x14ac:dyDescent="0.45">
      <c r="B26" s="47" t="str">
        <f t="shared" si="2"/>
        <v/>
      </c>
      <c r="C26" s="22" t="s">
        <v>105</v>
      </c>
      <c r="D26" s="22"/>
      <c r="E26" s="29"/>
      <c r="F26" s="22"/>
      <c r="G26" s="25"/>
      <c r="H26" s="17"/>
      <c r="I26" s="22"/>
      <c r="J26" s="22"/>
      <c r="K26" s="33"/>
      <c r="L26" s="22"/>
      <c r="M26" s="22"/>
      <c r="N26" s="26"/>
      <c r="O26" s="26"/>
    </row>
    <row r="27" spans="2:15" ht="15.4" x14ac:dyDescent="0.45">
      <c r="B27" s="47"/>
      <c r="C27" s="22" t="s">
        <v>106</v>
      </c>
      <c r="D27" s="22"/>
      <c r="E27" s="29"/>
      <c r="F27" s="22"/>
      <c r="G27" s="34"/>
      <c r="H27" s="17"/>
      <c r="I27" s="22"/>
      <c r="J27" s="22"/>
      <c r="K27" s="22"/>
      <c r="L27" s="22"/>
      <c r="M27" s="22"/>
      <c r="N27" s="26"/>
      <c r="O27" s="26"/>
    </row>
    <row r="28" spans="2:15" ht="30" x14ac:dyDescent="0.45">
      <c r="B28" s="47">
        <f>IF(O28="","",IF(O28="offen",0,IF(O28="freigegeben",1.5,2)))</f>
        <v>0</v>
      </c>
      <c r="C28" s="50" t="s">
        <v>107</v>
      </c>
      <c r="D28" s="65" t="s">
        <v>17</v>
      </c>
      <c r="E28" s="66" t="s">
        <v>18</v>
      </c>
      <c r="F28" s="67" t="s">
        <v>19</v>
      </c>
      <c r="G28" s="67" t="s">
        <v>20</v>
      </c>
      <c r="H28" s="67" t="s">
        <v>21</v>
      </c>
      <c r="I28" s="52" t="s">
        <v>108</v>
      </c>
      <c r="J28" s="52" t="s">
        <v>109</v>
      </c>
      <c r="K28" s="53">
        <v>2600</v>
      </c>
      <c r="L28" s="68" t="s">
        <v>24</v>
      </c>
      <c r="M28" s="52"/>
      <c r="N28" s="69" t="s">
        <v>25</v>
      </c>
      <c r="O28" s="69" t="s">
        <v>25</v>
      </c>
    </row>
    <row r="29" spans="2:15" ht="15.4" x14ac:dyDescent="0.45">
      <c r="B29" s="47" t="str">
        <f>IF(O29="","",IF(O29="offen",0,IF(O29="freigegeben",1.5,2)))</f>
        <v/>
      </c>
      <c r="C29" s="22" t="s">
        <v>110</v>
      </c>
      <c r="D29" s="22"/>
      <c r="E29" s="29"/>
      <c r="F29" s="22"/>
      <c r="G29" s="17"/>
      <c r="H29" s="17"/>
      <c r="I29" s="25"/>
      <c r="J29" s="22"/>
      <c r="K29" s="22"/>
      <c r="L29" s="20"/>
      <c r="M29" s="22"/>
      <c r="N29" s="26"/>
      <c r="O29" s="26"/>
    </row>
    <row r="30" spans="2:15" ht="30.4" x14ac:dyDescent="0.45">
      <c r="B30" s="47" t="str">
        <f>IF(O30="","",IF(O30="offen",0,IF(O30="freigegeben",1.5,2)))</f>
        <v/>
      </c>
      <c r="C30" s="22" t="s">
        <v>111</v>
      </c>
      <c r="D30" s="22" t="s">
        <v>17</v>
      </c>
      <c r="E30" s="42" t="s">
        <v>36</v>
      </c>
      <c r="F30" s="63" t="s">
        <v>37</v>
      </c>
      <c r="G30" s="25">
        <v>9131170</v>
      </c>
      <c r="H30" s="25" t="s">
        <v>38</v>
      </c>
      <c r="I30" s="22" t="s">
        <v>39</v>
      </c>
      <c r="J30" s="25" t="s">
        <v>40</v>
      </c>
      <c r="K30" s="34" t="s">
        <v>41</v>
      </c>
      <c r="L30" s="20" t="s">
        <v>70</v>
      </c>
      <c r="M30" s="22"/>
      <c r="N30" s="26"/>
      <c r="O30" s="26"/>
    </row>
    <row r="31" spans="2:15" ht="15.4" x14ac:dyDescent="0.45">
      <c r="B31" s="47" t="str">
        <f>IF(O31="","",IF(O31="offen",0,IF(O31="freigegeben",1.5,2)))</f>
        <v/>
      </c>
      <c r="C31" s="22" t="s">
        <v>133</v>
      </c>
      <c r="D31" s="22"/>
      <c r="E31" s="29"/>
      <c r="F31" s="22"/>
      <c r="G31" s="25"/>
      <c r="H31" s="22"/>
      <c r="I31" s="44"/>
      <c r="J31" s="22"/>
      <c r="K31" s="22"/>
      <c r="L31" s="20"/>
      <c r="M31" s="22"/>
      <c r="N31" s="26"/>
      <c r="O31" s="26"/>
    </row>
    <row r="32" spans="2:15" ht="15.4" x14ac:dyDescent="0.45">
      <c r="B32" s="47" t="str">
        <f t="shared" ref="B32:B51" si="3">IF(O32="","",IF(O32="offen",0,IF(O32="freigegeben",1.5,2)))</f>
        <v/>
      </c>
      <c r="C32" s="22" t="s">
        <v>134</v>
      </c>
      <c r="D32" s="22"/>
      <c r="E32" s="29"/>
      <c r="F32" s="22"/>
      <c r="G32" s="25"/>
      <c r="H32" s="22"/>
      <c r="I32" s="20"/>
      <c r="J32" s="22"/>
      <c r="K32" s="33"/>
      <c r="L32" s="22"/>
      <c r="M32" s="22"/>
      <c r="N32" s="26"/>
      <c r="O32" s="26"/>
    </row>
    <row r="33" spans="2:15" ht="15.4" x14ac:dyDescent="0.45">
      <c r="B33" s="47" t="str">
        <f t="shared" si="3"/>
        <v/>
      </c>
      <c r="C33" s="22" t="s">
        <v>135</v>
      </c>
      <c r="D33" s="22"/>
      <c r="E33" s="29"/>
      <c r="F33" s="22"/>
      <c r="G33" s="25"/>
      <c r="H33" s="17"/>
      <c r="I33" s="22"/>
      <c r="J33" s="22"/>
      <c r="K33" s="33"/>
      <c r="L33" s="20"/>
      <c r="M33" s="22"/>
      <c r="N33" s="26"/>
      <c r="O33" s="26"/>
    </row>
    <row r="34" spans="2:15" ht="15.4" x14ac:dyDescent="0.45">
      <c r="B34" s="47" t="str">
        <f t="shared" si="3"/>
        <v/>
      </c>
      <c r="C34" s="22" t="s">
        <v>136</v>
      </c>
      <c r="D34" s="22"/>
      <c r="E34" s="29"/>
      <c r="F34" s="45"/>
      <c r="G34" s="25"/>
      <c r="H34" s="22"/>
      <c r="I34" s="25"/>
      <c r="J34" s="22"/>
      <c r="K34" s="33"/>
      <c r="L34" s="22"/>
      <c r="M34" s="22"/>
      <c r="N34" s="26"/>
      <c r="O34" s="26"/>
    </row>
    <row r="35" spans="2:15" ht="15.4" x14ac:dyDescent="0.45">
      <c r="B35" s="47" t="str">
        <f t="shared" si="3"/>
        <v/>
      </c>
      <c r="C35" s="22" t="s">
        <v>112</v>
      </c>
      <c r="D35" s="22"/>
      <c r="E35" s="29" t="s">
        <v>113</v>
      </c>
      <c r="F35" s="22" t="s">
        <v>114</v>
      </c>
      <c r="G35" s="25" t="s">
        <v>20</v>
      </c>
      <c r="H35" s="17" t="s">
        <v>20</v>
      </c>
      <c r="I35" s="22" t="s">
        <v>115</v>
      </c>
      <c r="J35" s="22"/>
      <c r="K35" s="22">
        <v>250</v>
      </c>
      <c r="L35" s="20" t="s">
        <v>70</v>
      </c>
      <c r="M35" s="22"/>
      <c r="N35" s="26"/>
      <c r="O35" s="26"/>
    </row>
    <row r="36" spans="2:15" ht="15.4" x14ac:dyDescent="0.45">
      <c r="B36" s="47">
        <f t="shared" si="3"/>
        <v>0</v>
      </c>
      <c r="C36" s="22" t="s">
        <v>116</v>
      </c>
      <c r="D36" s="22"/>
      <c r="E36" s="34" t="s">
        <v>117</v>
      </c>
      <c r="F36" s="25" t="s">
        <v>118</v>
      </c>
      <c r="G36" s="25">
        <v>1322250</v>
      </c>
      <c r="H36" s="25" t="s">
        <v>119</v>
      </c>
      <c r="I36" s="22" t="s">
        <v>122</v>
      </c>
      <c r="J36" s="22"/>
      <c r="K36" s="25"/>
      <c r="L36" s="20" t="s">
        <v>120</v>
      </c>
      <c r="M36" s="22"/>
      <c r="N36" s="26" t="s">
        <v>121</v>
      </c>
      <c r="O36" s="26" t="s">
        <v>25</v>
      </c>
    </row>
    <row r="37" spans="2:15" ht="15.4" x14ac:dyDescent="0.45">
      <c r="B37" s="47" t="str">
        <f t="shared" si="3"/>
        <v/>
      </c>
      <c r="C37" s="22" t="s">
        <v>123</v>
      </c>
      <c r="D37" s="22" t="s">
        <v>17</v>
      </c>
      <c r="E37" s="34" t="s">
        <v>124</v>
      </c>
      <c r="F37" s="25" t="s">
        <v>125</v>
      </c>
      <c r="G37" s="25">
        <v>1322250</v>
      </c>
      <c r="H37" s="17" t="s">
        <v>53</v>
      </c>
      <c r="I37" s="22" t="s">
        <v>126</v>
      </c>
      <c r="J37" s="22" t="s">
        <v>127</v>
      </c>
      <c r="K37" s="22">
        <v>6524</v>
      </c>
      <c r="L37" s="20" t="s">
        <v>57</v>
      </c>
      <c r="M37" s="22"/>
      <c r="N37" s="26"/>
      <c r="O37" s="26"/>
    </row>
    <row r="38" spans="2:15" ht="15.4" x14ac:dyDescent="0.45">
      <c r="B38" s="47" t="str">
        <f t="shared" si="3"/>
        <v/>
      </c>
      <c r="C38" s="22" t="s">
        <v>128</v>
      </c>
      <c r="D38" s="22" t="s">
        <v>17</v>
      </c>
      <c r="E38" s="29" t="s">
        <v>124</v>
      </c>
      <c r="F38" s="22" t="s">
        <v>129</v>
      </c>
      <c r="G38" s="25">
        <v>1322250</v>
      </c>
      <c r="H38" s="22" t="s">
        <v>53</v>
      </c>
      <c r="I38" s="22" t="s">
        <v>130</v>
      </c>
      <c r="J38" s="22" t="s">
        <v>127</v>
      </c>
      <c r="K38" s="22">
        <v>30000</v>
      </c>
      <c r="L38" s="20" t="s">
        <v>57</v>
      </c>
      <c r="M38" s="22"/>
      <c r="N38" s="23"/>
      <c r="O38" s="23"/>
    </row>
    <row r="39" spans="2:15" ht="30.4" x14ac:dyDescent="0.45">
      <c r="B39" s="47" t="str">
        <f t="shared" si="3"/>
        <v/>
      </c>
      <c r="C39" s="22" t="s">
        <v>131</v>
      </c>
      <c r="D39" s="22"/>
      <c r="E39" s="34" t="s">
        <v>132</v>
      </c>
      <c r="F39" s="22"/>
      <c r="G39" s="25"/>
      <c r="H39" s="22"/>
      <c r="I39" s="22"/>
      <c r="J39" s="22"/>
      <c r="K39" s="22"/>
      <c r="L39" s="20"/>
      <c r="M39" s="22"/>
      <c r="N39" s="23"/>
      <c r="O39" s="23"/>
    </row>
    <row r="40" spans="2:15" ht="15.4" x14ac:dyDescent="0.45">
      <c r="B40" s="47" t="str">
        <f t="shared" si="3"/>
        <v/>
      </c>
      <c r="C40" s="22" t="s">
        <v>137</v>
      </c>
      <c r="D40" s="22"/>
      <c r="E40" s="29" t="s">
        <v>138</v>
      </c>
      <c r="F40" s="22" t="s">
        <v>139</v>
      </c>
      <c r="G40" s="25">
        <v>1322250</v>
      </c>
      <c r="H40" s="17" t="s">
        <v>53</v>
      </c>
      <c r="I40" s="22"/>
      <c r="J40" s="22" t="s">
        <v>142</v>
      </c>
      <c r="K40" s="22"/>
      <c r="L40" s="20" t="s">
        <v>140</v>
      </c>
      <c r="M40" s="22"/>
      <c r="N40" s="26" t="s">
        <v>141</v>
      </c>
      <c r="O40" s="26"/>
    </row>
    <row r="41" spans="2:15" ht="15.4" x14ac:dyDescent="0.45">
      <c r="B41" s="47" t="str">
        <f t="shared" si="3"/>
        <v/>
      </c>
      <c r="C41" s="70" t="s">
        <v>143</v>
      </c>
      <c r="D41" s="22" t="s">
        <v>17</v>
      </c>
      <c r="E41" s="29" t="s">
        <v>144</v>
      </c>
      <c r="F41" s="22" t="s">
        <v>145</v>
      </c>
      <c r="G41" s="25">
        <v>1322250</v>
      </c>
      <c r="H41" s="22" t="s">
        <v>53</v>
      </c>
      <c r="I41" s="71" t="s">
        <v>146</v>
      </c>
      <c r="J41" s="22" t="s">
        <v>94</v>
      </c>
      <c r="K41" s="22">
        <v>150000</v>
      </c>
      <c r="L41" s="22" t="s">
        <v>64</v>
      </c>
      <c r="M41" s="22"/>
      <c r="N41" s="26" t="s">
        <v>141</v>
      </c>
      <c r="O41" s="26"/>
    </row>
    <row r="42" spans="2:15" ht="15.4" x14ac:dyDescent="0.45">
      <c r="B42" s="47" t="str">
        <f t="shared" si="3"/>
        <v/>
      </c>
      <c r="C42" s="22"/>
      <c r="D42" s="22"/>
      <c r="E42" s="34"/>
      <c r="F42" s="25"/>
      <c r="G42" s="25"/>
      <c r="H42" s="22"/>
      <c r="I42" s="22"/>
      <c r="J42" s="22"/>
      <c r="K42" s="25"/>
      <c r="L42" s="20"/>
      <c r="M42" s="22"/>
      <c r="N42" s="23"/>
      <c r="O42" s="23"/>
    </row>
    <row r="43" spans="2:15" ht="15.4" x14ac:dyDescent="0.45">
      <c r="B43" s="47" t="str">
        <f t="shared" si="3"/>
        <v/>
      </c>
      <c r="C43" s="22" t="s">
        <v>147</v>
      </c>
      <c r="D43" s="22" t="s">
        <v>17</v>
      </c>
      <c r="E43" s="22">
        <v>30.300101999999999</v>
      </c>
      <c r="F43" s="8" t="s">
        <v>148</v>
      </c>
      <c r="G43" s="25"/>
      <c r="H43" s="22" t="s">
        <v>149</v>
      </c>
      <c r="I43" s="22" t="s">
        <v>150</v>
      </c>
      <c r="J43" s="22"/>
      <c r="K43" s="22">
        <v>500</v>
      </c>
      <c r="L43" s="20" t="s">
        <v>70</v>
      </c>
      <c r="M43" s="22"/>
      <c r="N43" s="23"/>
      <c r="O43" s="23"/>
    </row>
    <row r="44" spans="2:15" ht="15.4" x14ac:dyDescent="0.45">
      <c r="B44" s="47" t="str">
        <f t="shared" si="3"/>
        <v/>
      </c>
      <c r="C44" s="22" t="s">
        <v>151</v>
      </c>
      <c r="D44" s="22" t="s">
        <v>17</v>
      </c>
      <c r="E44" s="29" t="s">
        <v>155</v>
      </c>
      <c r="F44" s="22" t="s">
        <v>152</v>
      </c>
      <c r="G44" s="25">
        <v>1322250</v>
      </c>
      <c r="H44" s="17" t="s">
        <v>53</v>
      </c>
      <c r="I44" s="22" t="s">
        <v>153</v>
      </c>
      <c r="J44" s="22" t="s">
        <v>154</v>
      </c>
      <c r="K44" s="22">
        <v>10000</v>
      </c>
      <c r="L44" s="20" t="s">
        <v>57</v>
      </c>
      <c r="M44" s="22"/>
      <c r="N44" s="26"/>
      <c r="O44" s="26"/>
    </row>
    <row r="45" spans="2:15" ht="15.4" x14ac:dyDescent="0.45">
      <c r="B45" s="47" t="str">
        <f t="shared" si="3"/>
        <v/>
      </c>
      <c r="C45" s="22" t="s">
        <v>156</v>
      </c>
      <c r="D45" s="22" t="s">
        <v>17</v>
      </c>
      <c r="E45" s="29" t="s">
        <v>90</v>
      </c>
      <c r="F45" s="22" t="s">
        <v>157</v>
      </c>
      <c r="G45" s="25"/>
      <c r="H45" s="17" t="s">
        <v>119</v>
      </c>
      <c r="I45" s="22" t="s">
        <v>158</v>
      </c>
      <c r="J45" s="22" t="s">
        <v>159</v>
      </c>
      <c r="K45" s="33"/>
      <c r="L45" s="22" t="s">
        <v>120</v>
      </c>
      <c r="M45" s="22"/>
      <c r="N45" s="26" t="s">
        <v>160</v>
      </c>
      <c r="O45" s="26"/>
    </row>
    <row r="46" spans="2:15" ht="88.5" customHeight="1" x14ac:dyDescent="0.45">
      <c r="B46" s="47" t="str">
        <f t="shared" si="3"/>
        <v/>
      </c>
      <c r="C46" s="22" t="s">
        <v>161</v>
      </c>
      <c r="D46" s="22" t="s">
        <v>17</v>
      </c>
      <c r="E46" s="29" t="s">
        <v>162</v>
      </c>
      <c r="F46" s="22" t="s">
        <v>163</v>
      </c>
      <c r="G46" s="25">
        <v>1508976</v>
      </c>
      <c r="H46" s="17" t="s">
        <v>164</v>
      </c>
      <c r="I46" s="22" t="s">
        <v>165</v>
      </c>
      <c r="J46" s="22" t="s">
        <v>165</v>
      </c>
      <c r="K46" s="25" t="s">
        <v>166</v>
      </c>
      <c r="L46" s="20" t="s">
        <v>70</v>
      </c>
      <c r="M46" s="22"/>
      <c r="N46" s="26"/>
      <c r="O46" s="26"/>
    </row>
    <row r="47" spans="2:15" ht="15.4" x14ac:dyDescent="0.45">
      <c r="B47" s="47" t="str">
        <f t="shared" si="3"/>
        <v/>
      </c>
      <c r="C47" s="22"/>
      <c r="D47" s="22"/>
      <c r="E47" s="29"/>
      <c r="F47" s="22"/>
      <c r="G47" s="25"/>
      <c r="H47" s="17"/>
      <c r="I47" s="22"/>
      <c r="J47" s="22"/>
      <c r="K47" s="33"/>
      <c r="L47" s="22"/>
      <c r="M47" s="22"/>
      <c r="N47" s="26"/>
      <c r="O47" s="26"/>
    </row>
    <row r="48" spans="2:15" ht="15.4" x14ac:dyDescent="0.45">
      <c r="B48" s="47" t="str">
        <f t="shared" si="3"/>
        <v/>
      </c>
      <c r="C48" s="22"/>
      <c r="D48" s="22"/>
      <c r="E48" s="34"/>
      <c r="F48" s="25"/>
      <c r="G48" s="25"/>
      <c r="H48" s="25"/>
      <c r="J48" s="22"/>
      <c r="K48" s="22"/>
      <c r="L48" s="22"/>
      <c r="M48" s="22"/>
      <c r="N48" s="26"/>
      <c r="O48" s="26"/>
    </row>
    <row r="49" spans="2:15" ht="15.4" x14ac:dyDescent="0.45">
      <c r="B49" s="47" t="str">
        <f t="shared" si="3"/>
        <v/>
      </c>
      <c r="C49" s="22"/>
      <c r="D49" s="22"/>
      <c r="E49" s="29"/>
      <c r="F49" s="22"/>
      <c r="G49" s="25"/>
      <c r="H49" s="17"/>
      <c r="I49" s="22"/>
      <c r="J49" s="22"/>
      <c r="K49" s="22"/>
      <c r="L49" s="20"/>
      <c r="M49" s="22"/>
      <c r="N49" s="26"/>
      <c r="O49" s="26"/>
    </row>
    <row r="50" spans="2:15" ht="15.4" x14ac:dyDescent="0.45">
      <c r="B50" s="47" t="str">
        <f t="shared" si="3"/>
        <v/>
      </c>
      <c r="C50" s="22"/>
      <c r="D50" s="22"/>
      <c r="E50" s="34"/>
      <c r="F50" s="25"/>
      <c r="G50" s="25"/>
      <c r="H50" s="25"/>
      <c r="I50" s="22"/>
      <c r="J50" s="22"/>
      <c r="K50" s="22"/>
      <c r="L50" s="20"/>
      <c r="M50" s="22"/>
      <c r="N50" s="26"/>
      <c r="O50" s="26"/>
    </row>
    <row r="51" spans="2:15" ht="15.4" x14ac:dyDescent="0.45">
      <c r="B51" s="47" t="str">
        <f t="shared" si="3"/>
        <v/>
      </c>
      <c r="C51" s="22"/>
      <c r="D51" s="22"/>
      <c r="E51" s="29"/>
      <c r="F51" s="22"/>
      <c r="H51" s="25"/>
      <c r="I51" s="22"/>
      <c r="J51" s="22"/>
      <c r="K51" s="24"/>
      <c r="L51" s="20"/>
      <c r="M51" s="24"/>
      <c r="N51" s="23"/>
      <c r="O51" s="23"/>
    </row>
    <row r="52" spans="2:15" ht="15.4" x14ac:dyDescent="0.45">
      <c r="B52" s="47">
        <v>0</v>
      </c>
      <c r="C52" s="22"/>
      <c r="D52" s="22"/>
      <c r="E52" s="29"/>
      <c r="F52" s="22"/>
      <c r="H52" s="25"/>
      <c r="I52" s="22"/>
      <c r="J52" s="22"/>
      <c r="K52" s="24"/>
      <c r="L52" s="20"/>
      <c r="M52" s="24"/>
      <c r="N52" s="23"/>
      <c r="O52" s="23"/>
    </row>
    <row r="53" spans="2:15" ht="15.4" x14ac:dyDescent="0.45">
      <c r="B53" s="47">
        <v>0</v>
      </c>
      <c r="C53" s="22"/>
      <c r="D53" s="22"/>
      <c r="E53" s="29"/>
      <c r="F53" s="22"/>
      <c r="G53" s="25"/>
      <c r="H53" s="17"/>
      <c r="I53" s="22"/>
      <c r="J53" s="22"/>
      <c r="K53" s="24"/>
      <c r="L53" s="20"/>
      <c r="M53" s="24"/>
      <c r="N53" s="27"/>
      <c r="O53" s="26"/>
    </row>
    <row r="54" spans="2:15" ht="15.4" x14ac:dyDescent="0.45">
      <c r="B54" s="47">
        <v>0</v>
      </c>
      <c r="C54" s="22"/>
      <c r="D54" s="22"/>
      <c r="E54" s="29"/>
      <c r="F54" s="25"/>
      <c r="G54" s="25"/>
      <c r="H54" s="25"/>
      <c r="I54" s="22"/>
      <c r="J54" s="22"/>
      <c r="K54" s="24"/>
      <c r="L54" s="20"/>
      <c r="M54" s="24"/>
      <c r="N54" s="27"/>
      <c r="O54" s="26"/>
    </row>
    <row r="55" spans="2:15" ht="15.4" x14ac:dyDescent="0.45">
      <c r="B55" s="47">
        <v>0</v>
      </c>
      <c r="C55" s="22"/>
      <c r="D55" s="22"/>
      <c r="E55" s="29"/>
      <c r="F55" s="45"/>
      <c r="G55" s="17"/>
      <c r="H55" s="17"/>
      <c r="I55" s="25"/>
      <c r="J55" s="22"/>
      <c r="K55" s="22"/>
      <c r="L55" s="22"/>
      <c r="M55" s="22"/>
      <c r="N55" s="23"/>
      <c r="O55" s="26"/>
    </row>
    <row r="56" spans="2:15" ht="15.4" x14ac:dyDescent="0.45">
      <c r="B56" s="47">
        <v>0</v>
      </c>
      <c r="C56" s="22"/>
      <c r="D56" s="22"/>
      <c r="E56" s="29"/>
      <c r="F56" s="22"/>
      <c r="G56" s="25"/>
      <c r="H56" s="17"/>
      <c r="I56" s="22"/>
      <c r="L56" s="9"/>
      <c r="M56" s="9"/>
      <c r="N56" s="28"/>
      <c r="O56" s="26"/>
    </row>
    <row r="57" spans="2:15" ht="15.4" x14ac:dyDescent="0.45">
      <c r="B57" s="47">
        <v>0</v>
      </c>
      <c r="C57" s="22"/>
      <c r="D57" s="22"/>
      <c r="E57" s="49"/>
      <c r="F57" s="24"/>
      <c r="G57" s="25"/>
      <c r="H57" s="17"/>
      <c r="I57" s="24"/>
      <c r="J57" s="24"/>
      <c r="K57" s="24"/>
      <c r="L57" s="24"/>
      <c r="M57" s="24"/>
      <c r="N57" s="27"/>
      <c r="O57" s="27"/>
    </row>
    <row r="58" spans="2:15" ht="15.4" x14ac:dyDescent="0.45">
      <c r="B58" s="47"/>
      <c r="C58" s="24"/>
      <c r="D58" s="24"/>
      <c r="E58" s="36"/>
      <c r="F58"/>
      <c r="G58" s="35"/>
      <c r="H58" s="24"/>
      <c r="I58" s="24"/>
      <c r="J58" s="24"/>
      <c r="K58" s="24"/>
      <c r="L58" s="24"/>
      <c r="M58" s="24"/>
      <c r="N58" s="27"/>
      <c r="O58" s="27"/>
    </row>
    <row r="59" spans="2:15" ht="15.4" x14ac:dyDescent="0.45">
      <c r="B59" s="47">
        <v>1</v>
      </c>
      <c r="C59" s="22"/>
      <c r="D59" s="22"/>
      <c r="E59" s="22"/>
      <c r="F59" s="22"/>
      <c r="G59" s="25"/>
      <c r="H59" s="17"/>
      <c r="I59" s="22"/>
      <c r="L59" s="9"/>
      <c r="M59" s="9"/>
      <c r="N59" s="28"/>
      <c r="O59" s="26"/>
    </row>
    <row r="60" spans="2:15" ht="15.4" x14ac:dyDescent="0.45">
      <c r="B60" s="47">
        <v>2</v>
      </c>
      <c r="C60" s="22"/>
      <c r="D60" s="22"/>
      <c r="E60" s="29"/>
      <c r="F60" s="22"/>
      <c r="G60" s="25"/>
      <c r="H60" s="17"/>
      <c r="I60" s="22"/>
      <c r="J60" s="22"/>
      <c r="L60" s="20"/>
      <c r="O60" s="27"/>
    </row>
    <row r="61" spans="2:15" ht="15.4" x14ac:dyDescent="0.45">
      <c r="B61" s="47">
        <v>2</v>
      </c>
      <c r="C61" s="22"/>
      <c r="D61" s="22"/>
      <c r="E61" s="29"/>
      <c r="F61" s="22"/>
      <c r="G61" s="25"/>
      <c r="H61" s="17"/>
      <c r="I61" s="22"/>
      <c r="J61" s="22"/>
      <c r="L61" s="20"/>
      <c r="O61" s="26"/>
    </row>
    <row r="62" spans="2:15" ht="15.4" x14ac:dyDescent="0.45">
      <c r="B62" s="47">
        <v>0</v>
      </c>
      <c r="C62" s="22"/>
      <c r="D62" s="22"/>
      <c r="E62" s="22"/>
      <c r="F62" s="22"/>
      <c r="G62" s="25"/>
      <c r="H62" s="17"/>
      <c r="I62" s="22"/>
      <c r="J62" s="22"/>
      <c r="K62" s="40"/>
      <c r="L62" s="20"/>
      <c r="O62" s="26"/>
    </row>
    <row r="63" spans="2:15" ht="15.4" x14ac:dyDescent="0.45">
      <c r="B63" s="47">
        <v>0</v>
      </c>
      <c r="C63" s="22"/>
      <c r="D63" s="22"/>
      <c r="E63" s="41"/>
      <c r="F63"/>
      <c r="G63" s="25"/>
      <c r="H63" s="17"/>
      <c r="I63" s="22"/>
      <c r="K63" s="40"/>
      <c r="L63" s="20"/>
      <c r="O63" s="26"/>
    </row>
    <row r="64" spans="2:15" ht="15.4" x14ac:dyDescent="0.45">
      <c r="B64" s="47">
        <v>0</v>
      </c>
      <c r="C64" s="22"/>
      <c r="D64" s="22"/>
      <c r="E64" s="29"/>
      <c r="F64" s="25"/>
      <c r="G64" s="25"/>
      <c r="H64" s="25"/>
      <c r="I64" s="22"/>
      <c r="J64" s="22"/>
      <c r="K64" s="40"/>
      <c r="L64" s="20"/>
      <c r="O64" s="26"/>
    </row>
    <row r="65" spans="1:75" ht="15.4" x14ac:dyDescent="0.45">
      <c r="B65" s="47">
        <v>0</v>
      </c>
      <c r="C65" s="22"/>
      <c r="D65" s="22"/>
      <c r="E65" s="29"/>
      <c r="F65" s="22"/>
      <c r="H65" s="25"/>
      <c r="I65" s="22"/>
      <c r="J65" s="22"/>
      <c r="L65" s="20"/>
      <c r="O65" s="26"/>
    </row>
    <row r="66" spans="1:75" ht="15.4" x14ac:dyDescent="0.45">
      <c r="B66" s="47">
        <v>0</v>
      </c>
      <c r="C66" s="50"/>
      <c r="D66" s="50"/>
      <c r="E66" s="51"/>
      <c r="F66" s="50"/>
      <c r="G66" s="52"/>
      <c r="H66" s="52"/>
      <c r="I66" s="52"/>
      <c r="J66" s="52"/>
      <c r="K66" s="53"/>
      <c r="L66" s="54"/>
      <c r="M66" s="55"/>
      <c r="N66" s="56"/>
      <c r="O66" s="57"/>
    </row>
    <row r="67" spans="1:75" ht="15.4" x14ac:dyDescent="0.45">
      <c r="B67" s="47">
        <v>0</v>
      </c>
      <c r="C67" s="22"/>
      <c r="D67" s="22"/>
      <c r="E67" s="29"/>
      <c r="F67" s="22"/>
      <c r="G67" s="25"/>
      <c r="H67" s="17"/>
      <c r="I67" s="22"/>
      <c r="J67" s="22"/>
      <c r="K67" s="40"/>
      <c r="L67" s="20"/>
      <c r="O67" s="26"/>
    </row>
    <row r="68" spans="1:75" s="38" customFormat="1" ht="15.4" x14ac:dyDescent="0.45">
      <c r="A68" s="37"/>
      <c r="B68" s="48"/>
      <c r="C68" s="22"/>
      <c r="D68" s="22"/>
      <c r="E68" s="29"/>
      <c r="F68" s="22"/>
      <c r="G68" s="25"/>
      <c r="H68" s="17"/>
      <c r="I68" s="22"/>
      <c r="J68" s="22"/>
      <c r="K68" s="39"/>
      <c r="L68" s="20"/>
      <c r="N68" s="5"/>
      <c r="O68" s="26"/>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row>
    <row r="69" spans="1:75" ht="18" customHeight="1" x14ac:dyDescent="0.45">
      <c r="B69" s="47"/>
      <c r="C69" s="22"/>
      <c r="D69" s="22"/>
      <c r="E69" s="29"/>
      <c r="F69" s="22"/>
      <c r="G69" s="25"/>
      <c r="H69" s="17"/>
      <c r="I69" s="22"/>
      <c r="J69" s="22"/>
      <c r="L69" s="20"/>
      <c r="O69" s="26"/>
    </row>
    <row r="70" spans="1:75" ht="15.4" x14ac:dyDescent="0.45">
      <c r="B70" s="47"/>
      <c r="C70" s="22"/>
      <c r="D70" s="22"/>
      <c r="E70" s="29"/>
      <c r="F70" s="22"/>
      <c r="G70" s="25"/>
      <c r="H70" s="17"/>
      <c r="I70" s="22"/>
      <c r="J70" s="22"/>
      <c r="L70" s="20"/>
      <c r="O70" s="26"/>
    </row>
    <row r="71" spans="1:75" ht="15.4" x14ac:dyDescent="0.45">
      <c r="B71" s="47"/>
      <c r="C71" s="22"/>
      <c r="D71" s="22"/>
      <c r="E71" s="29"/>
      <c r="F71" s="22"/>
      <c r="G71" s="25"/>
      <c r="H71" s="17"/>
      <c r="I71" s="22"/>
      <c r="J71" s="22"/>
      <c r="K71" s="40"/>
      <c r="L71" s="20"/>
      <c r="O71" s="26"/>
    </row>
    <row r="72" spans="1:75" ht="15.4" x14ac:dyDescent="0.45">
      <c r="B72" s="47"/>
      <c r="C72" s="22"/>
      <c r="D72" s="22"/>
      <c r="E72" s="29"/>
      <c r="F72" s="22"/>
      <c r="G72" s="25"/>
      <c r="H72" s="17"/>
      <c r="I72" s="22"/>
      <c r="J72" s="22"/>
      <c r="K72" s="40"/>
      <c r="L72" s="20"/>
      <c r="O72" s="26"/>
    </row>
    <row r="73" spans="1:75" ht="15.4" x14ac:dyDescent="0.45">
      <c r="B73" s="47"/>
      <c r="C73" s="22"/>
      <c r="D73" s="22"/>
      <c r="E73" s="41"/>
      <c r="F73"/>
      <c r="G73" s="25"/>
      <c r="H73" s="17"/>
      <c r="I73" s="22"/>
      <c r="K73" s="40"/>
      <c r="L73" s="20"/>
      <c r="O73" s="26"/>
    </row>
    <row r="74" spans="1:75" ht="15.4" x14ac:dyDescent="0.45">
      <c r="B74" s="47"/>
      <c r="C74" s="22"/>
      <c r="D74"/>
      <c r="E74" s="34"/>
      <c r="F74" s="25"/>
      <c r="G74" s="25"/>
      <c r="H74" s="25"/>
      <c r="I74" s="22"/>
      <c r="J74" s="22"/>
      <c r="L74" s="20"/>
    </row>
    <row r="75" spans="1:75" ht="36" customHeight="1" x14ac:dyDescent="0.45">
      <c r="B75" s="47"/>
      <c r="C75" s="22"/>
      <c r="D75"/>
      <c r="E75" s="34"/>
      <c r="F75" s="25"/>
      <c r="G75" s="25"/>
      <c r="H75" s="25"/>
      <c r="I75" s="25"/>
      <c r="J75" s="22"/>
      <c r="L75" s="20"/>
    </row>
    <row r="76" spans="1:75" ht="15.4" x14ac:dyDescent="0.45">
      <c r="B76" s="47"/>
      <c r="C76"/>
      <c r="D76"/>
      <c r="E76" s="41"/>
      <c r="F76"/>
      <c r="L76" s="20"/>
    </row>
    <row r="77" spans="1:75" ht="15.4" x14ac:dyDescent="0.45">
      <c r="B77" s="47"/>
      <c r="C77"/>
      <c r="D77"/>
      <c r="E77" s="41"/>
      <c r="F77"/>
      <c r="L77" s="20"/>
    </row>
    <row r="78" spans="1:75" ht="15.4" x14ac:dyDescent="0.45">
      <c r="B78" s="47"/>
      <c r="C78"/>
      <c r="D78"/>
      <c r="E78" s="41"/>
      <c r="F78"/>
      <c r="L78" s="20"/>
    </row>
    <row r="79" spans="1:75" ht="15.4" x14ac:dyDescent="0.45">
      <c r="B79" s="47"/>
      <c r="C79"/>
      <c r="D79"/>
      <c r="E79" s="41"/>
      <c r="F79"/>
      <c r="L79" s="20"/>
    </row>
    <row r="80" spans="1:75" ht="15.4" x14ac:dyDescent="0.45">
      <c r="B80" s="47"/>
      <c r="C80"/>
      <c r="D80"/>
      <c r="E80" s="41"/>
      <c r="F80"/>
      <c r="L80" s="20"/>
    </row>
    <row r="81" spans="2:15" ht="15.4" x14ac:dyDescent="0.45">
      <c r="B81" s="47"/>
      <c r="C81"/>
      <c r="D81"/>
      <c r="E81" s="41"/>
      <c r="F81"/>
      <c r="L81" s="20"/>
    </row>
    <row r="82" spans="2:15" ht="15.4" x14ac:dyDescent="0.45">
      <c r="B82" s="47"/>
      <c r="C82"/>
      <c r="D82"/>
      <c r="E82" s="41"/>
      <c r="F82"/>
      <c r="L82" s="20"/>
    </row>
    <row r="83" spans="2:15" ht="15.4" x14ac:dyDescent="0.45">
      <c r="B83" s="47"/>
      <c r="C83"/>
      <c r="D83" s="22"/>
      <c r="E83" s="29"/>
      <c r="F83" s="22"/>
      <c r="G83" s="25"/>
      <c r="H83" s="17"/>
      <c r="I83" s="22"/>
      <c r="L83" s="9"/>
      <c r="M83" s="9"/>
      <c r="N83" s="28"/>
      <c r="O83" s="26"/>
    </row>
    <row r="84" spans="2:15" ht="15.4" x14ac:dyDescent="0.45">
      <c r="B84" s="47"/>
      <c r="C84"/>
      <c r="D84"/>
      <c r="E84" s="41"/>
      <c r="F84"/>
      <c r="L84" s="20"/>
    </row>
    <row r="85" spans="2:15" ht="15.4" x14ac:dyDescent="0.45">
      <c r="B85" s="47"/>
      <c r="C85"/>
      <c r="D85"/>
      <c r="E85" s="41"/>
      <c r="F85"/>
      <c r="L85" s="20"/>
    </row>
    <row r="86" spans="2:15" ht="15.4" x14ac:dyDescent="0.45">
      <c r="B86" s="47"/>
      <c r="C86"/>
      <c r="D86"/>
      <c r="E86" s="42"/>
      <c r="F86"/>
      <c r="H86" s="25"/>
      <c r="K86" s="40"/>
      <c r="L86" s="20"/>
      <c r="N86" s="43"/>
    </row>
    <row r="87" spans="2:15" ht="15.4" x14ac:dyDescent="0.45">
      <c r="B87" s="47"/>
      <c r="C87"/>
      <c r="D87"/>
      <c r="E87" s="42"/>
      <c r="F87"/>
      <c r="H87" s="25"/>
      <c r="K87" s="40"/>
      <c r="L87" s="20"/>
    </row>
    <row r="88" spans="2:15" ht="15.4" x14ac:dyDescent="0.45">
      <c r="B88" s="47"/>
      <c r="C88"/>
      <c r="D88"/>
      <c r="E88" s="41"/>
      <c r="F88"/>
      <c r="L88" s="20"/>
    </row>
    <row r="89" spans="2:15" ht="15.4" x14ac:dyDescent="0.45">
      <c r="B89" s="47"/>
      <c r="C89"/>
      <c r="D89"/>
      <c r="E89" s="41"/>
      <c r="F89"/>
      <c r="L89" s="20"/>
    </row>
    <row r="90" spans="2:15" ht="15.4" x14ac:dyDescent="0.45">
      <c r="B90" s="47"/>
    </row>
    <row r="91" spans="2:15" ht="15.4" x14ac:dyDescent="0.45">
      <c r="B91" s="47" t="str">
        <f t="shared" ref="B91:B99" si="4">IF(O91="","",IF(O91="offen",0,IF(O91="freigegeben",1.5,2)))</f>
        <v/>
      </c>
    </row>
    <row r="92" spans="2:15" ht="15.4" x14ac:dyDescent="0.45">
      <c r="B92" s="47" t="str">
        <f t="shared" si="4"/>
        <v/>
      </c>
    </row>
    <row r="93" spans="2:15" ht="15.4" x14ac:dyDescent="0.45">
      <c r="B93" s="47" t="str">
        <f t="shared" si="4"/>
        <v/>
      </c>
    </row>
    <row r="94" spans="2:15" ht="15.4" x14ac:dyDescent="0.45">
      <c r="B94" s="47" t="str">
        <f t="shared" si="4"/>
        <v/>
      </c>
    </row>
    <row r="95" spans="2:15" ht="15.4" x14ac:dyDescent="0.45">
      <c r="B95" s="47" t="str">
        <f t="shared" si="4"/>
        <v/>
      </c>
    </row>
    <row r="96" spans="2:15" ht="15.4" x14ac:dyDescent="0.45">
      <c r="B96" s="47" t="str">
        <f t="shared" si="4"/>
        <v/>
      </c>
    </row>
    <row r="97" spans="2:2" ht="15.4" x14ac:dyDescent="0.45">
      <c r="B97" s="47" t="str">
        <f t="shared" si="4"/>
        <v/>
      </c>
    </row>
    <row r="98" spans="2:2" ht="15.4" x14ac:dyDescent="0.45">
      <c r="B98" s="47" t="str">
        <f t="shared" si="4"/>
        <v/>
      </c>
    </row>
    <row r="99" spans="2:2" ht="15.4" x14ac:dyDescent="0.45">
      <c r="B99" s="47" t="str">
        <f t="shared" si="4"/>
        <v/>
      </c>
    </row>
  </sheetData>
  <autoFilter ref="A3:DJ57" xr:uid="{00000000-0001-0000-0000-000000000000}"/>
  <dataConsolidate/>
  <mergeCells count="1">
    <mergeCell ref="B2:L2"/>
  </mergeCells>
  <phoneticPr fontId="9" type="noConversion"/>
  <conditionalFormatting sqref="B4:B11">
    <cfRule type="iconSet" priority="1">
      <iconSet iconSet="3TrafficLights2" showValue="0">
        <cfvo type="percent" val="0"/>
        <cfvo type="num" val="1"/>
        <cfvo type="num" val="2"/>
      </iconSet>
    </cfRule>
  </conditionalFormatting>
  <conditionalFormatting sqref="B12:B14">
    <cfRule type="iconSet" priority="8">
      <iconSet iconSet="3TrafficLights2" showValue="0">
        <cfvo type="percent" val="0"/>
        <cfvo type="num" val="1"/>
        <cfvo type="num" val="2"/>
      </iconSet>
    </cfRule>
  </conditionalFormatting>
  <conditionalFormatting sqref="B15:B25">
    <cfRule type="iconSet" priority="6">
      <iconSet iconSet="3TrafficLights2" showValue="0">
        <cfvo type="percent" val="0"/>
        <cfvo type="num" val="1"/>
        <cfvo type="num" val="2"/>
      </iconSet>
    </cfRule>
  </conditionalFormatting>
  <conditionalFormatting sqref="B26:B59">
    <cfRule type="iconSet" priority="4">
      <iconSet iconSet="3TrafficLights2" showValue="0">
        <cfvo type="percent" val="0"/>
        <cfvo type="num" val="1"/>
        <cfvo type="num" val="2"/>
      </iconSet>
    </cfRule>
  </conditionalFormatting>
  <conditionalFormatting sqref="B60:B73">
    <cfRule type="iconSet" priority="3">
      <iconSet iconSet="3TrafficLights2" showValue="0">
        <cfvo type="percent" val="0"/>
        <cfvo type="num" val="1"/>
        <cfvo type="num" val="2"/>
      </iconSet>
    </cfRule>
  </conditionalFormatting>
  <conditionalFormatting sqref="B74:B99">
    <cfRule type="iconSet" priority="2">
      <iconSet iconSet="3TrafficLights2" showValue="0">
        <cfvo type="percent" val="0"/>
        <cfvo type="num" val="1"/>
        <cfvo type="num" val="2"/>
      </iconSet>
    </cfRule>
  </conditionalFormatting>
  <pageMargins left="0.7" right="0.7" top="0.78740157499999996" bottom="0.78740157499999996" header="0.3" footer="0.3"/>
  <pageSetup paperSize="8" scale="61"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'Status Liste'!$A$2:$A$4</xm:f>
          </x14:formula1>
          <xm:sqref>N42:O43 N55 N9 O9:O12 N38:O39 N11:N12 N19:O22 N51:O52 O5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activeCell="D29" sqref="D29"/>
    </sheetView>
  </sheetViews>
  <sheetFormatPr defaultColWidth="11.3984375" defaultRowHeight="14.25" x14ac:dyDescent="0.45"/>
  <cols>
    <col min="1" max="1" width="12.59765625" customWidth="1"/>
  </cols>
  <sheetData>
    <row r="1" spans="1:1" x14ac:dyDescent="0.45">
      <c r="A1" t="s">
        <v>12</v>
      </c>
    </row>
    <row r="2" spans="1:1" x14ac:dyDescent="0.45">
      <c r="A2" t="s">
        <v>25</v>
      </c>
    </row>
    <row r="3" spans="1:1" x14ac:dyDescent="0.45">
      <c r="A3" t="s">
        <v>81</v>
      </c>
    </row>
    <row r="4" spans="1:1" x14ac:dyDescent="0.45">
      <c r="A4" t="s">
        <v>58</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960822D6E90E4B9842C914F28C75AF" ma:contentTypeVersion="22" ma:contentTypeDescription="Create a new document." ma:contentTypeScope="" ma:versionID="c0a26af2f494b51327415fc7c6a55e58">
  <xsd:schema xmlns:xsd="http://www.w3.org/2001/XMLSchema" xmlns:xs="http://www.w3.org/2001/XMLSchema" xmlns:p="http://schemas.microsoft.com/office/2006/metadata/properties" xmlns:ns1="http://schemas.microsoft.com/sharepoint/v3" xmlns:ns2="fbf11286-88bd-49f6-9e65-04081c2d26f1" xmlns:ns3="199c62a4-0f37-4b66-b4f0-d96c1b5a08a3" targetNamespace="http://schemas.microsoft.com/office/2006/metadata/properties" ma:root="true" ma:fieldsID="c4df49a5f4eb8e9ec2d8f32cb1d6e68e" ns1:_="" ns2:_="" ns3:_="">
    <xsd:import namespace="http://schemas.microsoft.com/sharepoint/v3"/>
    <xsd:import namespace="fbf11286-88bd-49f6-9e65-04081c2d26f1"/>
    <xsd:import namespace="199c62a4-0f37-4b66-b4f0-d96c1b5a08a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element ref="ns1:_ip_UnifiedCompliancePolicyProperties" minOccurs="0"/>
                <xsd:element ref="ns1:_ip_UnifiedCompliancePolicyUIAction" minOccurs="0"/>
                <xsd:element ref="ns2:MailGesende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f11286-88bd-49f6-9e65-04081c2d26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f2cf889-88a9-489e-9f08-ce9bd417219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Flow_SignoffStatus" ma:index="26" nillable="true" ma:displayName="Sign-off status" ma:internalName="Sign_x002d_off_x0020_status">
      <xsd:simpleType>
        <xsd:restriction base="dms:Text"/>
      </xsd:simpleType>
    </xsd:element>
    <xsd:element name="MailGesendet" ma:index="29" nillable="true" ma:displayName="MailGesendet" ma:default="0" ma:format="Dropdown" ma:internalName="MailGesende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99c62a4-0f37-4b66-b4f0-d96c1b5a08a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c23f65d-059f-4a9c-af0f-a417b488feae}" ma:internalName="TaxCatchAll" ma:showField="CatchAllData" ma:web="199c62a4-0f37-4b66-b4f0-d96c1b5a08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99c62a4-0f37-4b66-b4f0-d96c1b5a08a3" xsi:nil="true"/>
    <lcf76f155ced4ddcb4097134ff3c332f xmlns="fbf11286-88bd-49f6-9e65-04081c2d26f1">
      <Terms xmlns="http://schemas.microsoft.com/office/infopath/2007/PartnerControls"/>
    </lcf76f155ced4ddcb4097134ff3c332f>
    <_Flow_SignoffStatus xmlns="fbf11286-88bd-49f6-9e65-04081c2d26f1" xsi:nil="true"/>
    <_ip_UnifiedCompliancePolicyUIAction xmlns="http://schemas.microsoft.com/sharepoint/v3" xsi:nil="true"/>
    <_ip_UnifiedCompliancePolicyProperties xmlns="http://schemas.microsoft.com/sharepoint/v3" xsi:nil="true"/>
    <MailGesendet xmlns="fbf11286-88bd-49f6-9e65-04081c2d26f1">false</MailGesendet>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CD8E04-2925-4A48-BBF7-6D2B1E2BEE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bf11286-88bd-49f6-9e65-04081c2d26f1"/>
    <ds:schemaRef ds:uri="199c62a4-0f37-4b66-b4f0-d96c1b5a08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255A0F8-0595-48F3-B925-31307EDFC05B}">
  <ds:schemaRefs>
    <ds:schemaRef ds:uri="http://schemas.microsoft.com/office/2006/documentManagement/types"/>
    <ds:schemaRef ds:uri="http://purl.org/dc/elements/1.1/"/>
    <ds:schemaRef ds:uri="http://schemas.microsoft.com/sharepoint/v3"/>
    <ds:schemaRef ds:uri="199c62a4-0f37-4b66-b4f0-d96c1b5a08a3"/>
    <ds:schemaRef ds:uri="http://www.w3.org/XML/1998/namespace"/>
    <ds:schemaRef ds:uri="http://purl.org/dc/dcmitype/"/>
    <ds:schemaRef ds:uri="http://schemas.openxmlformats.org/package/2006/metadata/core-properties"/>
    <ds:schemaRef ds:uri="http://purl.org/dc/terms/"/>
    <ds:schemaRef ds:uri="http://schemas.microsoft.com/office/2006/metadata/properties"/>
    <ds:schemaRef ds:uri="http://schemas.microsoft.com/office/infopath/2007/PartnerControls"/>
    <ds:schemaRef ds:uri="fbf11286-88bd-49f6-9e65-04081c2d26f1"/>
  </ds:schemaRefs>
</ds:datastoreItem>
</file>

<file path=customXml/itemProps3.xml><?xml version="1.0" encoding="utf-8"?>
<ds:datastoreItem xmlns:ds="http://schemas.openxmlformats.org/officeDocument/2006/customXml" ds:itemID="{4A04A06B-3C45-41F8-AA98-4F3C7E2843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2026_Übersicht QN</vt:lpstr>
      <vt:lpstr>Status Liste</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GWF Qualitätsmanagement</dc:title>
  <dc:subject>Planung</dc:subject>
  <dc:creator>Erich Flühler</dc:creator>
  <cp:keywords/>
  <dc:description/>
  <cp:lastModifiedBy>Milosz Polrolnik</cp:lastModifiedBy>
  <cp:revision/>
  <dcterms:created xsi:type="dcterms:W3CDTF">2016-09-13T13:09:18Z</dcterms:created>
  <dcterms:modified xsi:type="dcterms:W3CDTF">2026-10-26T14:19:48Z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0x0101003F960822D6E90E4B9842C914F28C75AF</vt:lpwstr>
  </property>
  <property fmtid="{D5CDD505-2E9C-101B-9397-08002B2CF9AE}" pid="3" name="MediaServiceImageTags">
    <vt:lpwstr/>
  </property>
</Properties>
</file>