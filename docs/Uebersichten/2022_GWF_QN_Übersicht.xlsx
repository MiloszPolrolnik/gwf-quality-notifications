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22/"/>
    </mc:Choice>
  </mc:AlternateContent>
  <xr:revisionPtr revIDLastSave="722" documentId="13_ncr:1_{FA6135FC-4047-4F09-B1C1-760EE5B989A1}" xr6:coauthVersionLast="47" xr6:coauthVersionMax="47" xr10:uidLastSave="{7C999DAA-0EA6-4687-9A57-11CA600D0676}"/>
  <bookViews>
    <workbookView xWindow="-120" yWindow="-120" windowWidth="51840" windowHeight="21120" xr2:uid="{00000000-000D-0000-FFFF-FFFF00000000}"/>
  </bookViews>
  <sheets>
    <sheet name="2022_Übersicht QN" sheetId="5" r:id="rId1"/>
    <sheet name="Status Liste" sheetId="6" r:id="rId2"/>
  </sheets>
  <definedNames>
    <definedName name="_xlnm._FilterDatabase" localSheetId="0" hidden="1">'2022_Übersicht QN'!$A$3:$DJ$50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5" l="1"/>
  <c r="B57" i="5"/>
  <c r="B55" i="5"/>
  <c r="B53" i="5"/>
  <c r="B56" i="5"/>
  <c r="B54" i="5"/>
  <c r="B52" i="5"/>
  <c r="B51" i="5"/>
  <c r="B50" i="5"/>
  <c r="B49" i="5"/>
  <c r="B48" i="5"/>
  <c r="B45" i="5"/>
  <c r="B47" i="5"/>
  <c r="B46" i="5"/>
  <c r="B40" i="5"/>
  <c r="B41" i="5"/>
  <c r="B37" i="5"/>
  <c r="B36" i="5"/>
  <c r="B35" i="5"/>
  <c r="B23" i="5"/>
  <c r="B44" i="5"/>
  <c r="B43" i="5"/>
  <c r="B42" i="5"/>
  <c r="B39" i="5"/>
  <c r="B38" i="5"/>
  <c r="B34" i="5"/>
  <c r="B33" i="5"/>
  <c r="B32" i="5"/>
  <c r="B31" i="5"/>
  <c r="B30" i="5"/>
  <c r="B29" i="5"/>
  <c r="B28" i="5"/>
  <c r="B27" i="5"/>
  <c r="B26" i="5"/>
  <c r="B25" i="5"/>
  <c r="B24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O2" i="5"/>
</calcChain>
</file>

<file path=xl/sharedStrings.xml><?xml version="1.0" encoding="utf-8"?>
<sst xmlns="http://schemas.openxmlformats.org/spreadsheetml/2006/main" count="545" uniqueCount="278">
  <si>
    <t>GWF Quality Notification Tracking 2022</t>
  </si>
  <si>
    <t>QN-Nr.</t>
  </si>
  <si>
    <t>PSW (Serie/Projekt)</t>
  </si>
  <si>
    <t>Artikelnummer</t>
  </si>
  <si>
    <t>Artikelbezeichnung</t>
  </si>
  <si>
    <t>Lieferanten-Nr</t>
  </si>
  <si>
    <t>Lieferant</t>
  </si>
  <si>
    <t>Begründung</t>
  </si>
  <si>
    <t>Massnahmen</t>
  </si>
  <si>
    <t>Freigabe bis / oder Menge</t>
  </si>
  <si>
    <t xml:space="preserve">Verantwortung
</t>
  </si>
  <si>
    <t>Doku</t>
  </si>
  <si>
    <t>Status</t>
  </si>
  <si>
    <t>Tracking</t>
  </si>
  <si>
    <t>22-001</t>
  </si>
  <si>
    <t>Project</t>
  </si>
  <si>
    <t>2SE50</t>
  </si>
  <si>
    <t>Sonico Edge DN50</t>
  </si>
  <si>
    <t>n/a</t>
  </si>
  <si>
    <t>GWF</t>
  </si>
  <si>
    <t>Field Test</t>
  </si>
  <si>
    <t>according to project plan Kassandra</t>
  </si>
  <si>
    <t>1</t>
  </si>
  <si>
    <t>STH</t>
  </si>
  <si>
    <t>offen</t>
  </si>
  <si>
    <t>22-002</t>
  </si>
  <si>
    <t>Serie</t>
  </si>
  <si>
    <t>230.IR060</t>
  </si>
  <si>
    <t>RMC-C Radio Module</t>
  </si>
  <si>
    <t>Flonidan</t>
  </si>
  <si>
    <t>Continuation of production</t>
  </si>
  <si>
    <t>Corrective actions from the supplier</t>
  </si>
  <si>
    <t>900</t>
  </si>
  <si>
    <t>JSN</t>
  </si>
  <si>
    <t>freigegeben</t>
  </si>
  <si>
    <t>22-003</t>
  </si>
  <si>
    <t>55.000102</t>
  </si>
  <si>
    <t>Aec Hood</t>
  </si>
  <si>
    <t>Jantsch</t>
  </si>
  <si>
    <t>Short Mold</t>
  </si>
  <si>
    <t>Adapting Quality Control Plan on visual defects</t>
  </si>
  <si>
    <t>12.544</t>
  </si>
  <si>
    <t>SCI</t>
  </si>
  <si>
    <t>abgeschlossen</t>
  </si>
  <si>
    <t>22-004</t>
  </si>
  <si>
    <t>29.000332</t>
  </si>
  <si>
    <t>Bearing Pin</t>
  </si>
  <si>
    <t>Sitek</t>
  </si>
  <si>
    <t>A small bump in the pin</t>
  </si>
  <si>
    <t>75000</t>
  </si>
  <si>
    <t>22-005</t>
  </si>
  <si>
    <t>4SE50</t>
  </si>
  <si>
    <t>Sonico Edge DN100</t>
  </si>
  <si>
    <t>samples for presentation at distributors and customers</t>
  </si>
  <si>
    <t>4</t>
  </si>
  <si>
    <t>22-006</t>
  </si>
  <si>
    <t>53.000001</t>
  </si>
  <si>
    <t>Lydia Lower Frame</t>
  </si>
  <si>
    <t>Escatec</t>
  </si>
  <si>
    <t>Broken insert</t>
  </si>
  <si>
    <t>Sorting cavity 2 and tool repair</t>
  </si>
  <si>
    <t>27.03.2022</t>
  </si>
  <si>
    <t>22-007</t>
  </si>
  <si>
    <t>55.0001</t>
  </si>
  <si>
    <t>OWG Module Assembly</t>
  </si>
  <si>
    <t>LSW OWG show problems</t>
  </si>
  <si>
    <t>Use Lydia LSW for OWG</t>
  </si>
  <si>
    <t>50000</t>
  </si>
  <si>
    <t>22-008</t>
  </si>
  <si>
    <t>38.200001</t>
  </si>
  <si>
    <t>Support R6</t>
  </si>
  <si>
    <t>Insert broken</t>
  </si>
  <si>
    <t>Tool repair</t>
  </si>
  <si>
    <t>N/A</t>
  </si>
  <si>
    <t>22-009</t>
  </si>
  <si>
    <t>47.000116</t>
  </si>
  <si>
    <t>Rupper Gasket IP68</t>
  </si>
  <si>
    <t>DOIT</t>
  </si>
  <si>
    <t>Change over from 47.000116 to 44.000116</t>
  </si>
  <si>
    <t>Shorten at DOIT and take over to 44.000116</t>
  </si>
  <si>
    <t>MST</t>
  </si>
  <si>
    <t>22-010</t>
  </si>
  <si>
    <t>Diverse</t>
  </si>
  <si>
    <t>Sonico Edge DN80, Sonico Edge DN100, Sonico Edge DN150</t>
  </si>
  <si>
    <t>customer application for drinking water measurement</t>
  </si>
  <si>
    <t>according to project plan Kassandra and Gordium</t>
  </si>
  <si>
    <t>5</t>
  </si>
  <si>
    <t>22-011</t>
  </si>
  <si>
    <t>PCB Base Board</t>
  </si>
  <si>
    <t>BMK</t>
  </si>
  <si>
    <t xml:space="preserve">nicht ausreichend gelötet </t>
  </si>
  <si>
    <t>QFMs Nachlöten</t>
  </si>
  <si>
    <t>MSA</t>
  </si>
  <si>
    <t>22-012</t>
  </si>
  <si>
    <t>Industrial IO Board V1.2</t>
  </si>
  <si>
    <t>Quick-Pick AG</t>
  </si>
  <si>
    <t>PCB falsch bestückt</t>
  </si>
  <si>
    <t>Rework</t>
  </si>
  <si>
    <t>22-013</t>
  </si>
  <si>
    <t>2SE80</t>
  </si>
  <si>
    <t>Sonico Edge DN80</t>
  </si>
  <si>
    <t>Independent metrologocal testing at WRC in UK</t>
  </si>
  <si>
    <t>3</t>
  </si>
  <si>
    <t>22-014</t>
  </si>
  <si>
    <t>2S2H</t>
  </si>
  <si>
    <t>Sonico Edge DN200</t>
  </si>
  <si>
    <t>For project in Malahat, Canada under the supervision of QMC</t>
  </si>
  <si>
    <t>22-015</t>
  </si>
  <si>
    <t>44.000050</t>
  </si>
  <si>
    <t>Gear O3</t>
  </si>
  <si>
    <t>Janz</t>
  </si>
  <si>
    <t>Small burr on the gear</t>
  </si>
  <si>
    <t>10000</t>
  </si>
  <si>
    <t>22-016</t>
  </si>
  <si>
    <t>44.000026</t>
  </si>
  <si>
    <t>Plastic Cup</t>
  </si>
  <si>
    <t>High gate due to pin-point gate size bigger</t>
  </si>
  <si>
    <t>22-017</t>
  </si>
  <si>
    <t>55.000005</t>
  </si>
  <si>
    <t>OWG general Wheel</t>
  </si>
  <si>
    <t>Dimension 2a and 2b slightly out of spec</t>
  </si>
  <si>
    <t>05.05.2022</t>
  </si>
  <si>
    <t>22-018</t>
  </si>
  <si>
    <t>1242.00029</t>
  </si>
  <si>
    <t>TRZ2coder</t>
  </si>
  <si>
    <t>Elster GmbH</t>
  </si>
  <si>
    <t>Bohrbild abweichend zum Standard</t>
  </si>
  <si>
    <t>use as is</t>
  </si>
  <si>
    <t>TTE</t>
  </si>
  <si>
    <t>22-019</t>
  </si>
  <si>
    <t>22-020</t>
  </si>
  <si>
    <t>Trial installation in Poland arranged by Aleksandra</t>
  </si>
  <si>
    <t>Trial installation in DE arranged by Michael Franz</t>
  </si>
  <si>
    <t>according to Gordium project plan</t>
  </si>
  <si>
    <t>22-021</t>
  </si>
  <si>
    <t>56.0001</t>
  </si>
  <si>
    <t>Mitto Module 868MHz Compact</t>
  </si>
  <si>
    <t>22-022</t>
  </si>
  <si>
    <t>22-023</t>
  </si>
  <si>
    <t>56.0003</t>
  </si>
  <si>
    <t>56.0004</t>
  </si>
  <si>
    <t>Mitto Module 868MHz Split</t>
  </si>
  <si>
    <t>Mitto Module 915MHz Split</t>
  </si>
  <si>
    <t>PCBA produced by QUICK-PICK AG, not Escatec</t>
  </si>
  <si>
    <t>solve allocation issue at Escatec</t>
  </si>
  <si>
    <t>50</t>
  </si>
  <si>
    <t>53.0001</t>
  </si>
  <si>
    <t>Neptune Lydia Register</t>
  </si>
  <si>
    <t>New P1 connector is difficult to assemble</t>
  </si>
  <si>
    <t>Extra Press for the P1 connector at the SMT line</t>
  </si>
  <si>
    <t>154K</t>
  </si>
  <si>
    <t>RCM-LRW10</t>
  </si>
  <si>
    <t>Escatec / EBV</t>
  </si>
  <si>
    <t xml:space="preserve">Not to be able to progamm uplode on the module </t>
  </si>
  <si>
    <t>MSC</t>
  </si>
  <si>
    <t xml:space="preserve">Cerate are Task Force whit an action plan. Production stopp was imposed </t>
  </si>
  <si>
    <t>230.IR300</t>
  </si>
  <si>
    <t>1322250
2301002</t>
  </si>
  <si>
    <t xml:space="preserve">2400pcs. </t>
  </si>
  <si>
    <t>3% Ausschuss für die Koppelkeile (Anweisung Matthias Brokelmann) Interne Reklamation I15</t>
  </si>
  <si>
    <t>Production stopp</t>
  </si>
  <si>
    <t>David Kurmann</t>
  </si>
  <si>
    <t>all</t>
  </si>
  <si>
    <t>22-024</t>
  </si>
  <si>
    <t>22-025</t>
  </si>
  <si>
    <t>22-026</t>
  </si>
  <si>
    <t>22-027</t>
  </si>
  <si>
    <t>Lydia Lower Frame M2</t>
  </si>
  <si>
    <t>Cracked main insert</t>
  </si>
  <si>
    <t>Tool repair and requalification</t>
  </si>
  <si>
    <t>22-028</t>
  </si>
  <si>
    <t>Lydia Lower Frame M1</t>
  </si>
  <si>
    <t>Crack at gating</t>
  </si>
  <si>
    <t>Tool repair by laser welding</t>
  </si>
  <si>
    <t>300000</t>
  </si>
  <si>
    <t>22-029</t>
  </si>
  <si>
    <t>Wear at sub insert cavity 1</t>
  </si>
  <si>
    <t>Sorting cavity 1 and tool repair</t>
  </si>
  <si>
    <t>550000</t>
  </si>
  <si>
    <t>V8 shift gear</t>
  </si>
  <si>
    <t>22-030</t>
  </si>
  <si>
    <t>Lydia Module</t>
  </si>
  <si>
    <t>Lack of 53.000012, Lydia General Wheel</t>
  </si>
  <si>
    <t>Use 55.000005, OWG General Wheel instead</t>
  </si>
  <si>
    <t>900000</t>
  </si>
  <si>
    <t>22-031</t>
  </si>
  <si>
    <t>Register-Frame</t>
  </si>
  <si>
    <t>Slider inssrt and sleeve pins bent</t>
  </si>
  <si>
    <t>2</t>
  </si>
  <si>
    <t>Double check Transducer quality and use Kassandra release</t>
  </si>
  <si>
    <t>2SE100&amp; 2SE80</t>
  </si>
  <si>
    <t>Sonico Edge DN100 &amp; DN80</t>
  </si>
  <si>
    <t>10</t>
  </si>
  <si>
    <t>2SE200</t>
  </si>
  <si>
    <t>6</t>
  </si>
  <si>
    <t>22-032</t>
  </si>
  <si>
    <t>22-033</t>
  </si>
  <si>
    <t>22-034</t>
  </si>
  <si>
    <t>Trial samples for strategic important customer in Poland</t>
  </si>
  <si>
    <t>Trial samples for strategic important customer of Pipersberg</t>
  </si>
  <si>
    <t>2nd lot delivery to trusted customer at Zürich Flughafen</t>
  </si>
  <si>
    <t>22-035</t>
  </si>
  <si>
    <t>Crack in insert</t>
  </si>
  <si>
    <t>Tool repiar, new insert</t>
  </si>
  <si>
    <t>Broken slider pin</t>
  </si>
  <si>
    <t>Tool repair, sorting cavity 3</t>
  </si>
  <si>
    <t>E122.00005</t>
  </si>
  <si>
    <t>Energie- &amp; Leistungszähler</t>
  </si>
  <si>
    <t>EMU</t>
  </si>
  <si>
    <t>AME</t>
  </si>
  <si>
    <t>Austauschzähler gemäss Lieferantenfehler Improve S-72</t>
  </si>
  <si>
    <t>22-036</t>
  </si>
  <si>
    <t>22-037</t>
  </si>
  <si>
    <t>22-038</t>
  </si>
  <si>
    <t>Austauschzähler für Kundenreklamation von CKW Improve C-75</t>
  </si>
  <si>
    <t>K32.00001 / 56.0004</t>
  </si>
  <si>
    <t>RCM-H200 split 915 MHz</t>
  </si>
  <si>
    <t>K32.00002 / 56.0002</t>
  </si>
  <si>
    <t>RCM-H200 compact 915 MHz</t>
  </si>
  <si>
    <t>Laufkartenanpassung des «Tx Intervall Restriction» Parameter</t>
  </si>
  <si>
    <t>22-039</t>
  </si>
  <si>
    <t>22-040</t>
  </si>
  <si>
    <t>Adaption request issued</t>
  </si>
  <si>
    <t>22-041</t>
  </si>
  <si>
    <t>Lydia Shift gear M1</t>
  </si>
  <si>
    <t>Flashing at center pin of Cav 6 and 7</t>
  </si>
  <si>
    <t>Tool repair and sorting cavity 6 &amp; 7</t>
  </si>
  <si>
    <t>400k</t>
  </si>
  <si>
    <t>22-042</t>
  </si>
  <si>
    <t>E122.00005 / E122.00007</t>
  </si>
  <si>
    <t>Freigabe Lagerbestand für Vertrieb</t>
  </si>
  <si>
    <t>928 / 87</t>
  </si>
  <si>
    <t>22-043</t>
  </si>
  <si>
    <t>Delivery to trusted customer in UK</t>
  </si>
  <si>
    <t>22-044</t>
  </si>
  <si>
    <t>Delivery to trusted customer in Germany</t>
  </si>
  <si>
    <t>Double check Transducer quality and check phase jumps</t>
  </si>
  <si>
    <t>22-045</t>
  </si>
  <si>
    <t>HRE Shift Gear</t>
  </si>
  <si>
    <t>Wear and tear core pin; flaches om bore</t>
  </si>
  <si>
    <t>make new core pins</t>
  </si>
  <si>
    <t>60 Stk.</t>
  </si>
  <si>
    <t>22-046</t>
  </si>
  <si>
    <t>20.0315</t>
  </si>
  <si>
    <t>PCB NAMUR assy</t>
  </si>
  <si>
    <t>Freigabe mit entsprechender Qualitätsprüfung durchführt von Stefan Christen</t>
  </si>
  <si>
    <r>
      <t xml:space="preserve">Freigabe für Kundenprojekt PCB Natur ASSY - Serienlieferant zu Alternativ = </t>
    </r>
    <r>
      <rPr>
        <b/>
        <sz val="12"/>
        <color theme="1"/>
        <rFont val="Arial Narrow"/>
        <family val="2"/>
      </rPr>
      <t>einmalige Aktion</t>
    </r>
  </si>
  <si>
    <t>22-047</t>
  </si>
  <si>
    <t>Lydia Shift Gear M2</t>
  </si>
  <si>
    <t>Flashes at cavity C, D and E; centre pin wear off</t>
  </si>
  <si>
    <t>Repair centre pin for cavity C, D and E</t>
  </si>
  <si>
    <t>22-049</t>
  </si>
  <si>
    <t>44.000120</t>
  </si>
  <si>
    <t>BMI 868 ENCLOSURE RMT C-67548</t>
  </si>
  <si>
    <t>Flash at gating</t>
  </si>
  <si>
    <t>22-050</t>
  </si>
  <si>
    <t>2SE2H</t>
  </si>
  <si>
    <t>Sample for Grindelwald</t>
  </si>
  <si>
    <t>Double check during production</t>
  </si>
  <si>
    <t>22-051</t>
  </si>
  <si>
    <t>Core pin cavity 3 broken</t>
  </si>
  <si>
    <t>300k</t>
  </si>
  <si>
    <t>22-052</t>
  </si>
  <si>
    <t>Sonico Life APP</t>
  </si>
  <si>
    <t>NA</t>
  </si>
  <si>
    <t>Version 1.0.25</t>
  </si>
  <si>
    <t>Software version 1.0.25 not completely tested</t>
  </si>
  <si>
    <t>Continous improvement</t>
  </si>
  <si>
    <t>22-053</t>
  </si>
  <si>
    <t>Sleeve pin broken</t>
  </si>
  <si>
    <t>Tool repair / sorting out cavity 1</t>
  </si>
  <si>
    <t>300K</t>
  </si>
  <si>
    <t>22-054</t>
  </si>
  <si>
    <t>2SE1H</t>
  </si>
  <si>
    <t>Delivery to trusted customer WV Reichenbach</t>
  </si>
  <si>
    <t>22-055</t>
  </si>
  <si>
    <t>Variante Fport 50 wurde falsch konfiguriert - keine monatliche Auslesung</t>
  </si>
  <si>
    <t>FW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</si>
</sst>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2"/>
      <color rgb="FF000000"/>
      <name val="Arial Narrow"/>
      <family val="2"/>
    </font>
    <font>
      <sz val="11"/>
      <color theme="1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</cellStyleXfs>
  <cellXfs count="6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9" fontId="8" fillId="0" borderId="4" xfId="1" applyFont="1" applyBorder="1" applyAlignment="1">
      <alignment horizontal="left" vertical="top"/>
    </xf>
    <xf numFmtId="9" fontId="8" fillId="0" borderId="5" xfId="1" applyFont="1" applyBorder="1" applyAlignment="1">
      <alignment horizontal="left" vertical="top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horizontal="left"/>
    </xf>
    <xf numFmtId="9" fontId="8" fillId="2" borderId="0" xfId="1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9" fontId="1" fillId="2" borderId="0" xfId="1" applyFont="1" applyFill="1"/>
    <xf numFmtId="9" fontId="1" fillId="2" borderId="0" xfId="1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5" xfId="0" applyFont="1" applyBorder="1"/>
    <xf numFmtId="0" fontId="11" fillId="0" borderId="0" xfId="0" applyFont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49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9" fontId="8" fillId="2" borderId="0" xfId="1" applyFont="1" applyFill="1" applyAlignment="1">
      <alignment vertical="center"/>
    </xf>
    <xf numFmtId="0" fontId="12" fillId="2" borderId="3" xfId="0" applyFont="1" applyFill="1" applyBorder="1" applyAlignment="1">
      <alignment vertical="top"/>
    </xf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9" fontId="12" fillId="0" borderId="5" xfId="1" applyFont="1" applyBorder="1" applyAlignment="1">
      <alignment horizontal="left" vertical="top"/>
    </xf>
    <xf numFmtId="9" fontId="12" fillId="2" borderId="0" xfId="1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 wrapText="1"/>
    </xf>
    <xf numFmtId="14" fontId="8" fillId="0" borderId="0" xfId="0" applyNumberFormat="1" applyFont="1" applyAlignment="1">
      <alignment horizontal="left" vertical="top" wrapText="1"/>
    </xf>
    <xf numFmtId="14" fontId="12" fillId="0" borderId="0" xfId="0" applyNumberFormat="1" applyFont="1" applyAlignment="1">
      <alignment horizontal="left" vertical="top" wrapText="1"/>
    </xf>
    <xf numFmtId="0" fontId="14" fillId="2" borderId="3" xfId="0" applyFont="1" applyFill="1" applyBorder="1" applyAlignment="1">
      <alignment vertical="top"/>
    </xf>
    <xf numFmtId="0" fontId="14" fillId="0" borderId="0" xfId="0" applyFont="1" applyAlignment="1">
      <alignment horizontal="left" vertical="top" wrapText="1"/>
    </xf>
    <xf numFmtId="9" fontId="1" fillId="0" borderId="0" xfId="1" applyFont="1"/>
    <xf numFmtId="0" fontId="0" fillId="0" borderId="0" xfId="0" applyAlignment="1">
      <alignment horizontal="left" wrapText="1"/>
    </xf>
    <xf numFmtId="9" fontId="14" fillId="2" borderId="0" xfId="1" applyFont="1" applyFill="1"/>
    <xf numFmtId="49" fontId="14" fillId="0" borderId="0" xfId="0" applyNumberFormat="1" applyFont="1" applyAlignment="1">
      <alignment horizontal="left" vertical="top" wrapText="1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5"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58"/>
  <sheetViews>
    <sheetView tabSelected="1" zoomScaleNormal="10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O57" sqref="O57"/>
    </sheetView>
  </sheetViews>
  <sheetFormatPr baseColWidth="10" defaultColWidth="11.42578125" defaultRowHeight="15" x14ac:dyDescent="0.25"/>
  <cols>
    <col min="1" max="1" width="1.140625" style="2" customWidth="1"/>
    <col min="2" max="2" width="3.42578125" style="8" customWidth="1"/>
    <col min="3" max="3" width="9.42578125" style="8" customWidth="1"/>
    <col min="4" max="4" width="13.85546875" style="8" customWidth="1"/>
    <col min="5" max="5" width="22.140625" style="8" bestFit="1" customWidth="1"/>
    <col min="6" max="6" width="28.140625" style="8" customWidth="1"/>
    <col min="7" max="7" width="14.42578125" style="4" bestFit="1" customWidth="1"/>
    <col min="8" max="8" width="16.85546875" style="9" bestFit="1" customWidth="1"/>
    <col min="9" max="9" width="59.42578125" style="9" customWidth="1"/>
    <col min="10" max="10" width="43" style="9" customWidth="1"/>
    <col min="11" max="11" width="14.5703125" style="9" bestFit="1" customWidth="1"/>
    <col min="12" max="12" width="22.140625" customWidth="1"/>
    <col min="13" max="13" width="15.85546875" customWidth="1"/>
    <col min="14" max="14" width="9.140625" style="5" hidden="1" customWidth="1"/>
    <col min="15" max="15" width="15.42578125" style="5" customWidth="1"/>
    <col min="16" max="16" width="0.85546875" style="2" customWidth="1"/>
    <col min="17" max="17" width="12.85546875" style="2" bestFit="1" customWidth="1"/>
    <col min="18" max="18" width="3.42578125" style="2" hidden="1" customWidth="1"/>
    <col min="19" max="19" width="12.85546875" style="2" customWidth="1"/>
    <col min="20" max="75" width="11.42578125" style="2"/>
  </cols>
  <sheetData>
    <row r="1" spans="2:114" s="2" customFormat="1" ht="15.75" thickBot="1" x14ac:dyDescent="0.3">
      <c r="B1" s="6"/>
      <c r="C1" s="6"/>
      <c r="D1" s="6"/>
      <c r="E1" s="6"/>
      <c r="F1" s="6"/>
      <c r="G1" s="1"/>
      <c r="H1" s="7"/>
      <c r="I1" s="7"/>
      <c r="J1" s="7"/>
      <c r="K1" s="7"/>
      <c r="N1" s="3"/>
      <c r="O1" s="3"/>
    </row>
    <row r="2" spans="2:114" ht="61.35" customHeight="1" thickBot="1" x14ac:dyDescent="0.3"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10"/>
      <c r="N2" s="11"/>
      <c r="O2" s="12">
        <f ca="1">TODAY()</f>
        <v>45366</v>
      </c>
    </row>
    <row r="3" spans="2:114" s="2" customFormat="1" ht="38.450000000000003" customHeight="1" x14ac:dyDescent="0.25">
      <c r="B3" s="13"/>
      <c r="C3" s="14" t="s">
        <v>1</v>
      </c>
      <c r="D3" s="14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6" t="s">
        <v>10</v>
      </c>
      <c r="M3" s="16" t="s">
        <v>11</v>
      </c>
      <c r="N3" s="17" t="s">
        <v>12</v>
      </c>
      <c r="O3" s="18" t="s">
        <v>13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2:114" s="2" customFormat="1" ht="15.75" customHeight="1" x14ac:dyDescent="0.25">
      <c r="B4" s="19">
        <f t="shared" ref="B4:B19" si="0">IF(O4="","",IF(O4="offen",0,IF(O4="freigegeben",1.5,2)))</f>
        <v>2</v>
      </c>
      <c r="C4" s="20" t="s">
        <v>14</v>
      </c>
      <c r="D4" s="20" t="s">
        <v>15</v>
      </c>
      <c r="E4" s="24" t="s">
        <v>16</v>
      </c>
      <c r="F4" s="21" t="s">
        <v>17</v>
      </c>
      <c r="G4" s="21" t="s">
        <v>18</v>
      </c>
      <c r="H4" s="21" t="s">
        <v>19</v>
      </c>
      <c r="I4" s="21" t="s">
        <v>20</v>
      </c>
      <c r="J4" s="21" t="s">
        <v>21</v>
      </c>
      <c r="K4" s="24" t="s">
        <v>22</v>
      </c>
      <c r="L4" s="21" t="s">
        <v>23</v>
      </c>
      <c r="M4" s="21"/>
      <c r="N4" s="23"/>
      <c r="O4" s="23" t="s">
        <v>43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2:114" s="2" customFormat="1" ht="15.75" customHeight="1" x14ac:dyDescent="0.25">
      <c r="B5" s="19">
        <f t="shared" si="0"/>
        <v>1.5</v>
      </c>
      <c r="C5" s="20" t="s">
        <v>25</v>
      </c>
      <c r="D5" s="20" t="s">
        <v>26</v>
      </c>
      <c r="E5" s="24" t="s">
        <v>27</v>
      </c>
      <c r="F5" s="21" t="s">
        <v>28</v>
      </c>
      <c r="G5" s="21">
        <v>3131725</v>
      </c>
      <c r="H5" s="21" t="s">
        <v>29</v>
      </c>
      <c r="I5" s="21" t="s">
        <v>30</v>
      </c>
      <c r="J5" s="21" t="s">
        <v>31</v>
      </c>
      <c r="K5" s="24" t="s">
        <v>32</v>
      </c>
      <c r="L5" s="21" t="s">
        <v>33</v>
      </c>
      <c r="M5" s="21"/>
      <c r="N5" s="23"/>
      <c r="O5" s="23" t="s">
        <v>34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2:114" s="2" customFormat="1" ht="15.75" customHeight="1" x14ac:dyDescent="0.25">
      <c r="B6" s="19">
        <f t="shared" si="0"/>
        <v>2</v>
      </c>
      <c r="C6" s="20" t="s">
        <v>35</v>
      </c>
      <c r="D6" s="20" t="s">
        <v>26</v>
      </c>
      <c r="E6" s="24" t="s">
        <v>36</v>
      </c>
      <c r="F6" s="21" t="s">
        <v>37</v>
      </c>
      <c r="G6" s="21"/>
      <c r="H6" s="21" t="s">
        <v>38</v>
      </c>
      <c r="I6" s="21" t="s">
        <v>39</v>
      </c>
      <c r="J6" s="21" t="s">
        <v>40</v>
      </c>
      <c r="K6" s="24" t="s">
        <v>41</v>
      </c>
      <c r="L6" s="21" t="s">
        <v>42</v>
      </c>
      <c r="M6" s="21"/>
      <c r="N6" s="22"/>
      <c r="O6" s="23" t="s">
        <v>43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2:114" s="2" customFormat="1" ht="15.75" customHeight="1" x14ac:dyDescent="0.25">
      <c r="B7" s="19">
        <f t="shared" si="0"/>
        <v>2</v>
      </c>
      <c r="C7" s="20" t="s">
        <v>44</v>
      </c>
      <c r="D7" s="20" t="s">
        <v>26</v>
      </c>
      <c r="E7" s="24" t="s">
        <v>45</v>
      </c>
      <c r="F7" s="21" t="s">
        <v>46</v>
      </c>
      <c r="G7" s="21">
        <v>2789005</v>
      </c>
      <c r="H7" s="21" t="s">
        <v>47</v>
      </c>
      <c r="I7" s="21" t="s">
        <v>48</v>
      </c>
      <c r="J7" s="21" t="s">
        <v>31</v>
      </c>
      <c r="K7" s="24" t="s">
        <v>49</v>
      </c>
      <c r="L7" s="21" t="s">
        <v>33</v>
      </c>
      <c r="M7" s="21"/>
      <c r="N7" s="23"/>
      <c r="O7" s="23" t="s">
        <v>43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2:114" s="2" customFormat="1" ht="15.75" customHeight="1" x14ac:dyDescent="0.25">
      <c r="B8" s="19">
        <f t="shared" si="0"/>
        <v>2</v>
      </c>
      <c r="C8" s="20" t="s">
        <v>50</v>
      </c>
      <c r="D8" s="20" t="s">
        <v>15</v>
      </c>
      <c r="E8" s="24" t="s">
        <v>51</v>
      </c>
      <c r="F8" s="21" t="s">
        <v>52</v>
      </c>
      <c r="G8" s="21" t="s">
        <v>18</v>
      </c>
      <c r="H8" s="21" t="s">
        <v>19</v>
      </c>
      <c r="I8" s="21" t="s">
        <v>53</v>
      </c>
      <c r="J8" s="21" t="s">
        <v>21</v>
      </c>
      <c r="K8" s="24" t="s">
        <v>54</v>
      </c>
      <c r="L8" s="21" t="s">
        <v>23</v>
      </c>
      <c r="M8" s="21"/>
      <c r="N8" s="23"/>
      <c r="O8" s="23" t="s">
        <v>43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2:114" s="2" customFormat="1" ht="15.75" customHeight="1" x14ac:dyDescent="0.25">
      <c r="B9" s="19">
        <f t="shared" si="0"/>
        <v>2</v>
      </c>
      <c r="C9" s="20" t="s">
        <v>55</v>
      </c>
      <c r="D9" s="20" t="s">
        <v>26</v>
      </c>
      <c r="E9" s="24" t="s">
        <v>56</v>
      </c>
      <c r="F9" s="21" t="s">
        <v>57</v>
      </c>
      <c r="G9" s="21">
        <v>1322250</v>
      </c>
      <c r="H9" s="21" t="s">
        <v>58</v>
      </c>
      <c r="I9" s="21" t="s">
        <v>59</v>
      </c>
      <c r="J9" s="21" t="s">
        <v>60</v>
      </c>
      <c r="K9" s="24" t="s">
        <v>61</v>
      </c>
      <c r="L9" s="21" t="s">
        <v>42</v>
      </c>
      <c r="M9" s="21"/>
      <c r="N9" s="23"/>
      <c r="O9" s="23" t="s">
        <v>43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2:114" s="2" customFormat="1" ht="15.75" customHeight="1" x14ac:dyDescent="0.25">
      <c r="B10" s="19">
        <f t="shared" si="0"/>
        <v>2</v>
      </c>
      <c r="C10" s="20" t="s">
        <v>62</v>
      </c>
      <c r="D10" s="20" t="s">
        <v>26</v>
      </c>
      <c r="E10" s="24" t="s">
        <v>63</v>
      </c>
      <c r="F10" s="21" t="s">
        <v>64</v>
      </c>
      <c r="G10" s="21">
        <v>1322250</v>
      </c>
      <c r="H10" s="21" t="s">
        <v>58</v>
      </c>
      <c r="I10" s="21" t="s">
        <v>65</v>
      </c>
      <c r="J10" s="21" t="s">
        <v>66</v>
      </c>
      <c r="K10" s="24" t="s">
        <v>67</v>
      </c>
      <c r="L10" s="21" t="s">
        <v>42</v>
      </c>
      <c r="M10" s="21"/>
      <c r="N10" s="23"/>
      <c r="O10" s="23" t="s">
        <v>43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2:114" s="2" customFormat="1" ht="15.75" customHeight="1" x14ac:dyDescent="0.25">
      <c r="B11" s="19">
        <f t="shared" si="0"/>
        <v>2</v>
      </c>
      <c r="C11" s="20" t="s">
        <v>68</v>
      </c>
      <c r="D11" s="20" t="s">
        <v>26</v>
      </c>
      <c r="E11" s="24" t="s">
        <v>69</v>
      </c>
      <c r="F11" s="21" t="s">
        <v>70</v>
      </c>
      <c r="G11" s="21">
        <v>1322250</v>
      </c>
      <c r="H11" s="21" t="s">
        <v>58</v>
      </c>
      <c r="I11" s="21" t="s">
        <v>71</v>
      </c>
      <c r="J11" s="21" t="s">
        <v>72</v>
      </c>
      <c r="K11" s="24" t="s">
        <v>73</v>
      </c>
      <c r="L11" s="21" t="s">
        <v>42</v>
      </c>
      <c r="M11" s="21"/>
      <c r="N11" s="23"/>
      <c r="O11" s="23" t="s">
        <v>43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2:114" s="2" customFormat="1" ht="15.75" customHeight="1" x14ac:dyDescent="0.25">
      <c r="B12" s="19">
        <f t="shared" si="0"/>
        <v>0</v>
      </c>
      <c r="C12" s="20" t="s">
        <v>74</v>
      </c>
      <c r="D12" s="20" t="s">
        <v>26</v>
      </c>
      <c r="E12" s="24" t="s">
        <v>75</v>
      </c>
      <c r="F12" s="21" t="s">
        <v>76</v>
      </c>
      <c r="G12" s="21">
        <v>3127754</v>
      </c>
      <c r="H12" s="21" t="s">
        <v>77</v>
      </c>
      <c r="I12" s="21" t="s">
        <v>78</v>
      </c>
      <c r="J12" s="21" t="s">
        <v>79</v>
      </c>
      <c r="K12" s="24"/>
      <c r="L12" s="21" t="s">
        <v>80</v>
      </c>
      <c r="M12" s="21"/>
      <c r="N12" s="23"/>
      <c r="O12" s="23" t="s">
        <v>24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2:114" s="2" customFormat="1" ht="47.25" x14ac:dyDescent="0.25">
      <c r="B13" s="19">
        <f t="shared" si="0"/>
        <v>2</v>
      </c>
      <c r="C13" s="20" t="s">
        <v>81</v>
      </c>
      <c r="D13" s="20" t="s">
        <v>15</v>
      </c>
      <c r="E13" s="24" t="s">
        <v>82</v>
      </c>
      <c r="F13" s="21" t="s">
        <v>83</v>
      </c>
      <c r="G13" s="21" t="s">
        <v>18</v>
      </c>
      <c r="H13" s="21" t="s">
        <v>19</v>
      </c>
      <c r="I13" s="21" t="s">
        <v>84</v>
      </c>
      <c r="J13" s="21" t="s">
        <v>85</v>
      </c>
      <c r="K13" s="24" t="s">
        <v>86</v>
      </c>
      <c r="L13" s="21" t="s">
        <v>23</v>
      </c>
      <c r="M13" s="21"/>
      <c r="N13" s="23"/>
      <c r="O13" s="23" t="s">
        <v>43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2:114" s="2" customFormat="1" ht="15.75" customHeight="1" x14ac:dyDescent="0.25">
      <c r="B14" s="19">
        <f t="shared" si="0"/>
        <v>0</v>
      </c>
      <c r="C14" s="20" t="s">
        <v>87</v>
      </c>
      <c r="D14" s="37" t="s">
        <v>26</v>
      </c>
      <c r="E14" s="38">
        <v>20.2042</v>
      </c>
      <c r="F14" s="38" t="s">
        <v>88</v>
      </c>
      <c r="G14" s="38">
        <v>9136935</v>
      </c>
      <c r="H14" s="38" t="s">
        <v>89</v>
      </c>
      <c r="I14" s="38" t="s">
        <v>90</v>
      </c>
      <c r="J14" s="38" t="s">
        <v>91</v>
      </c>
      <c r="K14" s="38">
        <v>81</v>
      </c>
      <c r="L14" s="38" t="s">
        <v>92</v>
      </c>
      <c r="M14" s="38"/>
      <c r="N14" s="39" t="s">
        <v>24</v>
      </c>
      <c r="O14" s="23" t="s">
        <v>24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2:114" s="2" customFormat="1" ht="15.75" customHeight="1" x14ac:dyDescent="0.25">
      <c r="B15" s="19">
        <f t="shared" si="0"/>
        <v>0</v>
      </c>
      <c r="C15" s="20" t="s">
        <v>93</v>
      </c>
      <c r="D15" s="37" t="s">
        <v>26</v>
      </c>
      <c r="E15" s="38">
        <v>20.202200000000001</v>
      </c>
      <c r="F15" s="38" t="s">
        <v>94</v>
      </c>
      <c r="G15" s="38">
        <v>9136546</v>
      </c>
      <c r="H15" s="38" t="s">
        <v>95</v>
      </c>
      <c r="I15" s="38" t="s">
        <v>96</v>
      </c>
      <c r="J15" s="38" t="s">
        <v>97</v>
      </c>
      <c r="K15" s="38">
        <v>50</v>
      </c>
      <c r="L15" s="38" t="s">
        <v>92</v>
      </c>
      <c r="M15" s="38"/>
      <c r="N15" s="39" t="s">
        <v>24</v>
      </c>
      <c r="O15" s="23" t="s">
        <v>24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2:114" s="2" customFormat="1" ht="15.75" customHeight="1" x14ac:dyDescent="0.25">
      <c r="B16" s="19">
        <f t="shared" si="0"/>
        <v>2</v>
      </c>
      <c r="C16" s="20" t="s">
        <v>98</v>
      </c>
      <c r="D16" s="20" t="s">
        <v>15</v>
      </c>
      <c r="E16" s="24" t="s">
        <v>99</v>
      </c>
      <c r="F16" s="21" t="s">
        <v>100</v>
      </c>
      <c r="G16" s="21" t="s">
        <v>18</v>
      </c>
      <c r="H16" s="21" t="s">
        <v>19</v>
      </c>
      <c r="I16" s="21" t="s">
        <v>101</v>
      </c>
      <c r="J16" s="21" t="s">
        <v>85</v>
      </c>
      <c r="K16" s="24" t="s">
        <v>102</v>
      </c>
      <c r="L16" s="21" t="s">
        <v>23</v>
      </c>
      <c r="M16" s="21"/>
      <c r="N16" s="23"/>
      <c r="O16" s="23" t="s">
        <v>43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2:114" s="2" customFormat="1" ht="15.75" customHeight="1" x14ac:dyDescent="0.25">
      <c r="B17" s="19">
        <f t="shared" si="0"/>
        <v>2</v>
      </c>
      <c r="C17" s="20" t="s">
        <v>103</v>
      </c>
      <c r="D17" s="20" t="s">
        <v>15</v>
      </c>
      <c r="E17" s="24" t="s">
        <v>104</v>
      </c>
      <c r="F17" s="21" t="s">
        <v>105</v>
      </c>
      <c r="G17" s="21" t="s">
        <v>18</v>
      </c>
      <c r="H17" s="21" t="s">
        <v>19</v>
      </c>
      <c r="I17" s="21" t="s">
        <v>106</v>
      </c>
      <c r="J17" s="21" t="s">
        <v>85</v>
      </c>
      <c r="K17" s="24" t="s">
        <v>22</v>
      </c>
      <c r="L17" s="21" t="s">
        <v>23</v>
      </c>
      <c r="M17" s="21"/>
      <c r="N17" s="23"/>
      <c r="O17" s="23" t="s">
        <v>43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2:114" s="2" customFormat="1" ht="15.75" customHeight="1" x14ac:dyDescent="0.25">
      <c r="B18" s="19">
        <f t="shared" si="0"/>
        <v>1.5</v>
      </c>
      <c r="C18" s="20" t="s">
        <v>107</v>
      </c>
      <c r="D18" s="20" t="s">
        <v>26</v>
      </c>
      <c r="E18" s="24" t="s">
        <v>108</v>
      </c>
      <c r="F18" s="21" t="s">
        <v>109</v>
      </c>
      <c r="G18" s="21">
        <v>1508976</v>
      </c>
      <c r="H18" s="21" t="s">
        <v>110</v>
      </c>
      <c r="I18" s="21" t="s">
        <v>111</v>
      </c>
      <c r="J18" s="21" t="s">
        <v>31</v>
      </c>
      <c r="K18" s="24" t="s">
        <v>112</v>
      </c>
      <c r="L18" s="21" t="s">
        <v>33</v>
      </c>
      <c r="M18" s="21"/>
      <c r="N18" s="23"/>
      <c r="O18" s="23" t="s">
        <v>34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2:114" s="2" customFormat="1" ht="15.75" customHeight="1" x14ac:dyDescent="0.25">
      <c r="B19" s="19">
        <f t="shared" si="0"/>
        <v>2</v>
      </c>
      <c r="C19" s="20" t="s">
        <v>113</v>
      </c>
      <c r="D19" s="20" t="s">
        <v>26</v>
      </c>
      <c r="E19" s="24" t="s">
        <v>114</v>
      </c>
      <c r="F19" s="21" t="s">
        <v>115</v>
      </c>
      <c r="G19" s="21">
        <v>1322250</v>
      </c>
      <c r="H19" s="21" t="s">
        <v>58</v>
      </c>
      <c r="I19" s="40" t="s">
        <v>116</v>
      </c>
      <c r="J19" s="21" t="s">
        <v>72</v>
      </c>
      <c r="K19" s="24" t="s">
        <v>73</v>
      </c>
      <c r="L19" s="21" t="s">
        <v>42</v>
      </c>
      <c r="M19" s="21"/>
      <c r="N19" s="23"/>
      <c r="O19" s="23" t="s">
        <v>43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2:114" s="2" customFormat="1" ht="15.75" customHeight="1" x14ac:dyDescent="0.25">
      <c r="B20" s="19">
        <f t="shared" ref="B20:B44" si="1">IF(O20="","",IF(O20="offen",0,IF(O20="freigegeben",1.5,2)))</f>
        <v>2</v>
      </c>
      <c r="C20" s="20" t="s">
        <v>117</v>
      </c>
      <c r="D20" s="20" t="s">
        <v>26</v>
      </c>
      <c r="E20" s="24" t="s">
        <v>118</v>
      </c>
      <c r="F20" s="21" t="s">
        <v>119</v>
      </c>
      <c r="G20" s="21">
        <v>1322250</v>
      </c>
      <c r="H20" s="21" t="s">
        <v>58</v>
      </c>
      <c r="I20" s="21" t="s">
        <v>120</v>
      </c>
      <c r="J20" s="21" t="s">
        <v>72</v>
      </c>
      <c r="K20" s="24" t="s">
        <v>121</v>
      </c>
      <c r="L20" s="21" t="s">
        <v>42</v>
      </c>
      <c r="M20" s="21"/>
      <c r="N20" s="23"/>
      <c r="O20" s="23" t="s">
        <v>43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2:114" s="2" customFormat="1" ht="15.75" customHeight="1" x14ac:dyDescent="0.25">
      <c r="B21" s="19">
        <f t="shared" si="1"/>
        <v>0</v>
      </c>
      <c r="C21" s="20" t="s">
        <v>122</v>
      </c>
      <c r="D21" s="20" t="s">
        <v>26</v>
      </c>
      <c r="E21" s="24" t="s">
        <v>123</v>
      </c>
      <c r="F21" s="21" t="s">
        <v>124</v>
      </c>
      <c r="G21" s="21">
        <v>1314638</v>
      </c>
      <c r="H21" s="21" t="s">
        <v>125</v>
      </c>
      <c r="I21" s="21" t="s">
        <v>126</v>
      </c>
      <c r="J21" s="21" t="s">
        <v>127</v>
      </c>
      <c r="K21" s="24" t="s">
        <v>54</v>
      </c>
      <c r="L21" s="21" t="s">
        <v>128</v>
      </c>
      <c r="M21" s="21"/>
      <c r="N21" s="23"/>
      <c r="O21" s="23" t="s">
        <v>24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2:114" s="2" customFormat="1" ht="15.75" customHeight="1" x14ac:dyDescent="0.25">
      <c r="B22" s="19">
        <f t="shared" si="1"/>
        <v>2</v>
      </c>
      <c r="C22" s="20" t="s">
        <v>129</v>
      </c>
      <c r="D22" s="20" t="s">
        <v>26</v>
      </c>
      <c r="E22" s="24" t="s">
        <v>104</v>
      </c>
      <c r="F22" s="21" t="s">
        <v>105</v>
      </c>
      <c r="G22" s="21" t="s">
        <v>18</v>
      </c>
      <c r="H22" s="21" t="s">
        <v>19</v>
      </c>
      <c r="I22" s="21" t="s">
        <v>131</v>
      </c>
      <c r="J22" s="21" t="s">
        <v>85</v>
      </c>
      <c r="K22" s="24" t="s">
        <v>22</v>
      </c>
      <c r="L22" s="21" t="s">
        <v>23</v>
      </c>
      <c r="M22" s="21"/>
      <c r="N22" s="23"/>
      <c r="O22" s="23" t="s">
        <v>43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2:114" s="2" customFormat="1" ht="15.75" customHeight="1" x14ac:dyDescent="0.25">
      <c r="B23" s="19">
        <f>IF(O23="","",IF(O23="offen",0,IF(O23="freigegeben",1.5,2)))</f>
        <v>2</v>
      </c>
      <c r="C23" s="20" t="s">
        <v>130</v>
      </c>
      <c r="D23" s="20" t="s">
        <v>26</v>
      </c>
      <c r="E23" s="24" t="s">
        <v>104</v>
      </c>
      <c r="F23" s="21" t="s">
        <v>105</v>
      </c>
      <c r="G23" s="21" t="s">
        <v>18</v>
      </c>
      <c r="H23" s="21" t="s">
        <v>19</v>
      </c>
      <c r="I23" s="21" t="s">
        <v>132</v>
      </c>
      <c r="J23" s="21" t="s">
        <v>133</v>
      </c>
      <c r="K23" s="24" t="s">
        <v>22</v>
      </c>
      <c r="L23" s="21" t="s">
        <v>23</v>
      </c>
      <c r="M23" s="21"/>
      <c r="N23" s="23"/>
      <c r="O23" s="23" t="s">
        <v>43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2:114" s="2" customFormat="1" ht="15.75" customHeight="1" x14ac:dyDescent="0.25">
      <c r="B24" s="19">
        <f t="shared" si="1"/>
        <v>2</v>
      </c>
      <c r="C24" s="20" t="s">
        <v>134</v>
      </c>
      <c r="D24" s="20" t="s">
        <v>15</v>
      </c>
      <c r="E24" s="24" t="s">
        <v>135</v>
      </c>
      <c r="F24" s="21" t="s">
        <v>136</v>
      </c>
      <c r="G24" s="21">
        <v>1322250</v>
      </c>
      <c r="H24" s="21" t="s">
        <v>58</v>
      </c>
      <c r="I24" s="21" t="s">
        <v>143</v>
      </c>
      <c r="J24" s="21" t="s">
        <v>144</v>
      </c>
      <c r="K24" s="24" t="s">
        <v>145</v>
      </c>
      <c r="L24" s="21" t="s">
        <v>42</v>
      </c>
      <c r="M24" s="21"/>
      <c r="N24" s="23"/>
      <c r="O24" s="23" t="s">
        <v>43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2:114" s="2" customFormat="1" ht="15.75" customHeight="1" x14ac:dyDescent="0.25">
      <c r="B25" s="19">
        <f t="shared" si="1"/>
        <v>2</v>
      </c>
      <c r="C25" s="20" t="s">
        <v>137</v>
      </c>
      <c r="D25" s="20" t="s">
        <v>15</v>
      </c>
      <c r="E25" s="24" t="s">
        <v>139</v>
      </c>
      <c r="F25" s="21" t="s">
        <v>141</v>
      </c>
      <c r="G25" s="21">
        <v>1322250</v>
      </c>
      <c r="H25" s="21" t="s">
        <v>58</v>
      </c>
      <c r="I25" s="21" t="s">
        <v>143</v>
      </c>
      <c r="J25" s="21" t="s">
        <v>144</v>
      </c>
      <c r="K25" s="24" t="s">
        <v>145</v>
      </c>
      <c r="L25" s="21" t="s">
        <v>42</v>
      </c>
      <c r="M25" s="21"/>
      <c r="N25" s="23"/>
      <c r="O25" s="23" t="s">
        <v>43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 spans="2:114" s="2" customFormat="1" ht="15.75" customHeight="1" x14ac:dyDescent="0.25">
      <c r="B26" s="19">
        <f t="shared" si="1"/>
        <v>2</v>
      </c>
      <c r="C26" s="20" t="s">
        <v>138</v>
      </c>
      <c r="D26" s="20" t="s">
        <v>15</v>
      </c>
      <c r="E26" s="24" t="s">
        <v>140</v>
      </c>
      <c r="F26" s="21" t="s">
        <v>142</v>
      </c>
      <c r="G26" s="21">
        <v>1322250</v>
      </c>
      <c r="H26" s="21" t="s">
        <v>58</v>
      </c>
      <c r="I26" s="21" t="s">
        <v>143</v>
      </c>
      <c r="J26" s="21" t="s">
        <v>144</v>
      </c>
      <c r="K26" s="24" t="s">
        <v>145</v>
      </c>
      <c r="L26" s="21" t="s">
        <v>42</v>
      </c>
      <c r="M26" s="21"/>
      <c r="N26" s="23"/>
      <c r="O26" s="23" t="s">
        <v>43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 spans="2:114" s="2" customFormat="1" ht="15.75" customHeight="1" x14ac:dyDescent="0.25">
      <c r="B27" s="19">
        <f t="shared" si="1"/>
        <v>2</v>
      </c>
      <c r="C27" s="20" t="s">
        <v>163</v>
      </c>
      <c r="D27" s="20" t="s">
        <v>26</v>
      </c>
      <c r="E27" s="24" t="s">
        <v>146</v>
      </c>
      <c r="F27" s="21" t="s">
        <v>147</v>
      </c>
      <c r="G27" s="21">
        <v>1322250</v>
      </c>
      <c r="H27" s="21" t="s">
        <v>58</v>
      </c>
      <c r="I27" s="21" t="s">
        <v>148</v>
      </c>
      <c r="J27" s="21" t="s">
        <v>149</v>
      </c>
      <c r="K27" s="24" t="s">
        <v>150</v>
      </c>
      <c r="L27" s="21" t="s">
        <v>42</v>
      </c>
      <c r="M27" s="21"/>
      <c r="N27" s="23"/>
      <c r="O27" s="23" t="s">
        <v>43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 spans="2:114" s="2" customFormat="1" ht="31.7" customHeight="1" x14ac:dyDescent="0.25">
      <c r="B28" s="19">
        <f t="shared" si="1"/>
        <v>0</v>
      </c>
      <c r="C28" s="20" t="s">
        <v>164</v>
      </c>
      <c r="D28" s="20" t="s">
        <v>26</v>
      </c>
      <c r="E28" s="24" t="s">
        <v>156</v>
      </c>
      <c r="F28" s="21" t="s">
        <v>151</v>
      </c>
      <c r="G28" s="21" t="s">
        <v>157</v>
      </c>
      <c r="H28" s="21" t="s">
        <v>152</v>
      </c>
      <c r="I28" s="21" t="s">
        <v>153</v>
      </c>
      <c r="J28" s="21" t="s">
        <v>155</v>
      </c>
      <c r="K28" s="24" t="s">
        <v>158</v>
      </c>
      <c r="L28" s="21" t="s">
        <v>154</v>
      </c>
      <c r="M28" s="21"/>
      <c r="N28" s="23"/>
      <c r="O28" s="23" t="s">
        <v>24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2:114" s="26" customFormat="1" ht="32.1" customHeight="1" x14ac:dyDescent="0.25">
      <c r="B29" s="19">
        <f t="shared" si="1"/>
        <v>0</v>
      </c>
      <c r="C29" s="42" t="s">
        <v>165</v>
      </c>
      <c r="D29" s="43" t="s">
        <v>26</v>
      </c>
      <c r="G29" s="27"/>
      <c r="H29" s="28"/>
      <c r="I29" s="41" t="s">
        <v>159</v>
      </c>
      <c r="J29" s="44" t="s">
        <v>160</v>
      </c>
      <c r="K29" s="45" t="s">
        <v>162</v>
      </c>
      <c r="L29" s="46" t="s">
        <v>161</v>
      </c>
      <c r="N29" s="29"/>
      <c r="O29" s="47" t="s">
        <v>24</v>
      </c>
    </row>
    <row r="30" spans="2:114" s="2" customFormat="1" ht="15.75" customHeight="1" x14ac:dyDescent="0.25">
      <c r="B30" s="19">
        <f t="shared" si="1"/>
        <v>1.5</v>
      </c>
      <c r="C30" s="20" t="s">
        <v>166</v>
      </c>
      <c r="D30" s="20" t="s">
        <v>26</v>
      </c>
      <c r="E30" s="24" t="s">
        <v>56</v>
      </c>
      <c r="F30" s="21" t="s">
        <v>167</v>
      </c>
      <c r="G30" s="21">
        <v>1322250</v>
      </c>
      <c r="H30" s="21" t="s">
        <v>58</v>
      </c>
      <c r="I30" s="21" t="s">
        <v>168</v>
      </c>
      <c r="J30" s="21" t="s">
        <v>169</v>
      </c>
      <c r="K30" s="24" t="s">
        <v>73</v>
      </c>
      <c r="L30" s="21" t="s">
        <v>42</v>
      </c>
      <c r="M30" s="21"/>
      <c r="N30" s="23"/>
      <c r="O30" s="23" t="s">
        <v>34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 spans="2:114" s="2" customFormat="1" ht="15.75" customHeight="1" x14ac:dyDescent="0.25">
      <c r="B31" s="19">
        <f t="shared" si="1"/>
        <v>1.5</v>
      </c>
      <c r="C31" s="20" t="s">
        <v>170</v>
      </c>
      <c r="D31" s="20" t="s">
        <v>26</v>
      </c>
      <c r="E31" s="24">
        <v>53.000000999999997</v>
      </c>
      <c r="F31" s="21" t="s">
        <v>171</v>
      </c>
      <c r="G31" s="21">
        <v>1322250</v>
      </c>
      <c r="H31" s="21" t="s">
        <v>58</v>
      </c>
      <c r="I31" s="21" t="s">
        <v>172</v>
      </c>
      <c r="J31" s="21" t="s">
        <v>173</v>
      </c>
      <c r="K31" s="24" t="s">
        <v>174</v>
      </c>
      <c r="L31" s="21" t="s">
        <v>42</v>
      </c>
      <c r="M31" s="21"/>
      <c r="N31" s="23"/>
      <c r="O31" s="23" t="s">
        <v>34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 spans="2:114" s="2" customFormat="1" ht="15.75" customHeight="1" x14ac:dyDescent="0.25">
      <c r="B32" s="19">
        <f t="shared" si="1"/>
        <v>2</v>
      </c>
      <c r="C32" s="20" t="s">
        <v>175</v>
      </c>
      <c r="D32" s="20" t="s">
        <v>26</v>
      </c>
      <c r="E32" s="25">
        <v>47.000011999999998</v>
      </c>
      <c r="F32" s="21" t="s">
        <v>179</v>
      </c>
      <c r="G32" s="21">
        <v>1322250</v>
      </c>
      <c r="H32" s="21" t="s">
        <v>58</v>
      </c>
      <c r="I32" s="21" t="s">
        <v>176</v>
      </c>
      <c r="J32" s="21" t="s">
        <v>177</v>
      </c>
      <c r="K32" s="24" t="s">
        <v>178</v>
      </c>
      <c r="L32" s="21" t="s">
        <v>42</v>
      </c>
      <c r="M32" s="21"/>
      <c r="N32" s="23"/>
      <c r="O32" s="23" t="s">
        <v>43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2:114" s="2" customFormat="1" ht="15.75" customHeight="1" x14ac:dyDescent="0.25">
      <c r="B33" s="19">
        <f t="shared" si="1"/>
        <v>2</v>
      </c>
      <c r="C33" s="26" t="s">
        <v>180</v>
      </c>
      <c r="D33" s="20" t="s">
        <v>26</v>
      </c>
      <c r="E33" s="28">
        <v>53.000100000000003</v>
      </c>
      <c r="F33" s="26" t="s">
        <v>181</v>
      </c>
      <c r="G33" s="30">
        <v>1322250</v>
      </c>
      <c r="H33" s="28" t="s">
        <v>58</v>
      </c>
      <c r="I33" s="28" t="s">
        <v>182</v>
      </c>
      <c r="J33" s="28" t="s">
        <v>183</v>
      </c>
      <c r="K33" s="36" t="s">
        <v>184</v>
      </c>
      <c r="L33" s="26" t="s">
        <v>42</v>
      </c>
      <c r="M33" s="26"/>
      <c r="N33" s="29"/>
      <c r="O33" s="29" t="s">
        <v>43</v>
      </c>
    </row>
    <row r="34" spans="2:114" s="2" customFormat="1" ht="15.75" customHeight="1" x14ac:dyDescent="0.25">
      <c r="B34" s="19">
        <f t="shared" si="1"/>
        <v>1.5</v>
      </c>
      <c r="C34" s="26" t="s">
        <v>185</v>
      </c>
      <c r="D34" s="20" t="s">
        <v>26</v>
      </c>
      <c r="E34" s="28">
        <v>45.000041000000003</v>
      </c>
      <c r="F34" s="26" t="s">
        <v>186</v>
      </c>
      <c r="G34" s="30">
        <v>1322250</v>
      </c>
      <c r="H34" s="28" t="s">
        <v>58</v>
      </c>
      <c r="I34" s="28" t="s">
        <v>187</v>
      </c>
      <c r="J34" s="28" t="s">
        <v>72</v>
      </c>
      <c r="K34" s="28" t="s">
        <v>73</v>
      </c>
      <c r="L34" s="26" t="s">
        <v>42</v>
      </c>
      <c r="M34" s="26"/>
      <c r="N34" s="29"/>
      <c r="O34" s="29" t="s">
        <v>34</v>
      </c>
    </row>
    <row r="35" spans="2:114" s="2" customFormat="1" ht="15.75" customHeight="1" x14ac:dyDescent="0.25">
      <c r="B35" s="48">
        <f>IF(O35="","",IF(O35="offen",0,IF(O35="freigegeben",1.5,2)))</f>
        <v>2</v>
      </c>
      <c r="C35" s="49" t="s">
        <v>195</v>
      </c>
      <c r="D35" s="49" t="s">
        <v>15</v>
      </c>
      <c r="E35" s="50" t="s">
        <v>16</v>
      </c>
      <c r="F35" s="51" t="s">
        <v>17</v>
      </c>
      <c r="G35" s="51" t="s">
        <v>18</v>
      </c>
      <c r="H35" s="51" t="s">
        <v>19</v>
      </c>
      <c r="I35" s="51" t="s">
        <v>198</v>
      </c>
      <c r="J35" s="51" t="s">
        <v>189</v>
      </c>
      <c r="K35" s="50" t="s">
        <v>188</v>
      </c>
      <c r="L35" s="51" t="s">
        <v>23</v>
      </c>
      <c r="M35" s="51"/>
      <c r="N35" s="52"/>
      <c r="O35" s="53" t="s">
        <v>43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 spans="2:114" s="2" customFormat="1" ht="15.75" customHeight="1" x14ac:dyDescent="0.25">
      <c r="B36" s="48">
        <f>IF(O36="","",IF(O36="offen",0,IF(O36="freigegeben",1.5,2)))</f>
        <v>2</v>
      </c>
      <c r="C36" s="49" t="s">
        <v>196</v>
      </c>
      <c r="D36" s="49" t="s">
        <v>15</v>
      </c>
      <c r="E36" s="50" t="s">
        <v>190</v>
      </c>
      <c r="F36" s="51" t="s">
        <v>191</v>
      </c>
      <c r="G36" s="51" t="s">
        <v>18</v>
      </c>
      <c r="H36" s="51" t="s">
        <v>19</v>
      </c>
      <c r="I36" s="51" t="s">
        <v>199</v>
      </c>
      <c r="J36" s="51" t="s">
        <v>189</v>
      </c>
      <c r="K36" s="50" t="s">
        <v>192</v>
      </c>
      <c r="L36" s="51" t="s">
        <v>23</v>
      </c>
      <c r="M36" s="51"/>
      <c r="N36" s="52"/>
      <c r="O36" s="53" t="s">
        <v>43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2:114" s="2" customFormat="1" ht="15.75" customHeight="1" x14ac:dyDescent="0.25">
      <c r="B37" s="48">
        <f>IF(O37="","",IF(O37="offen",0,IF(O37="freigegeben",1.5,2)))</f>
        <v>2</v>
      </c>
      <c r="C37" s="49" t="s">
        <v>197</v>
      </c>
      <c r="D37" s="49" t="s">
        <v>15</v>
      </c>
      <c r="E37" s="50" t="s">
        <v>193</v>
      </c>
      <c r="F37" s="51" t="s">
        <v>105</v>
      </c>
      <c r="G37" s="51" t="s">
        <v>18</v>
      </c>
      <c r="H37" s="51" t="s">
        <v>19</v>
      </c>
      <c r="I37" s="51" t="s">
        <v>200</v>
      </c>
      <c r="J37" s="51" t="s">
        <v>189</v>
      </c>
      <c r="K37" s="50" t="s">
        <v>194</v>
      </c>
      <c r="L37" s="51" t="s">
        <v>23</v>
      </c>
      <c r="M37" s="51"/>
      <c r="N37" s="52"/>
      <c r="O37" s="53" t="s">
        <v>43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 spans="2:114" s="2" customFormat="1" ht="15.75" customHeight="1" x14ac:dyDescent="0.25">
      <c r="B38" s="19">
        <f t="shared" si="1"/>
        <v>2</v>
      </c>
      <c r="C38" s="26" t="s">
        <v>201</v>
      </c>
      <c r="D38" s="20" t="s">
        <v>26</v>
      </c>
      <c r="E38" s="28">
        <v>53.000000999999997</v>
      </c>
      <c r="F38" s="26" t="s">
        <v>167</v>
      </c>
      <c r="G38" s="30">
        <v>1322250</v>
      </c>
      <c r="H38" s="28" t="s">
        <v>58</v>
      </c>
      <c r="I38" s="28" t="s">
        <v>202</v>
      </c>
      <c r="J38" s="28" t="s">
        <v>203</v>
      </c>
      <c r="K38" s="28" t="s">
        <v>18</v>
      </c>
      <c r="L38" s="26" t="s">
        <v>42</v>
      </c>
      <c r="M38" s="26"/>
      <c r="N38" s="29"/>
      <c r="O38" s="29" t="s">
        <v>43</v>
      </c>
    </row>
    <row r="39" spans="2:114" s="2" customFormat="1" ht="15.75" customHeight="1" x14ac:dyDescent="0.25">
      <c r="B39" s="19">
        <f t="shared" si="1"/>
        <v>1.5</v>
      </c>
      <c r="C39" s="26" t="s">
        <v>211</v>
      </c>
      <c r="D39" s="20" t="s">
        <v>26</v>
      </c>
      <c r="E39" s="28">
        <v>53.000000999999997</v>
      </c>
      <c r="F39" s="26" t="s">
        <v>171</v>
      </c>
      <c r="G39" s="30">
        <v>1322250</v>
      </c>
      <c r="H39" s="28" t="s">
        <v>58</v>
      </c>
      <c r="I39" s="28" t="s">
        <v>204</v>
      </c>
      <c r="J39" s="30" t="s">
        <v>205</v>
      </c>
      <c r="K39" s="28">
        <v>50000</v>
      </c>
      <c r="L39" s="26" t="s">
        <v>42</v>
      </c>
      <c r="M39" s="26"/>
      <c r="N39" s="29"/>
      <c r="O39" s="29" t="s">
        <v>34</v>
      </c>
    </row>
    <row r="40" spans="2:114" s="2" customFormat="1" ht="15.75" customHeight="1" x14ac:dyDescent="0.25">
      <c r="B40" s="19">
        <f>IF(O40="","",IF(O40="offen",0,IF(O40="freigegeben",1.5,2)))</f>
        <v>2</v>
      </c>
      <c r="C40" s="55" t="s">
        <v>212</v>
      </c>
      <c r="D40" s="20" t="s">
        <v>26</v>
      </c>
      <c r="E40" s="54" t="s">
        <v>206</v>
      </c>
      <c r="F40" s="55" t="s">
        <v>207</v>
      </c>
      <c r="G40" s="56">
        <v>3121450</v>
      </c>
      <c r="H40" s="55" t="s">
        <v>208</v>
      </c>
      <c r="I40" s="55" t="s">
        <v>214</v>
      </c>
      <c r="J40" s="55"/>
      <c r="K40" s="54">
        <v>23</v>
      </c>
      <c r="L40" s="55" t="s">
        <v>209</v>
      </c>
      <c r="N40" s="3"/>
      <c r="O40" s="3" t="s">
        <v>43</v>
      </c>
    </row>
    <row r="41" spans="2:114" s="2" customFormat="1" ht="15.75" customHeight="1" x14ac:dyDescent="0.25">
      <c r="B41" s="19">
        <f>IF(O41="","",IF(O41="offen",0,IF(O41="freigegeben",1.5,2)))</f>
        <v>2</v>
      </c>
      <c r="C41" s="55" t="s">
        <v>213</v>
      </c>
      <c r="D41" s="20" t="s">
        <v>26</v>
      </c>
      <c r="E41" s="54" t="s">
        <v>206</v>
      </c>
      <c r="F41" s="55" t="s">
        <v>207</v>
      </c>
      <c r="G41" s="56">
        <v>3121450</v>
      </c>
      <c r="H41" s="55" t="s">
        <v>208</v>
      </c>
      <c r="I41" s="55" t="s">
        <v>210</v>
      </c>
      <c r="J41" s="55"/>
      <c r="K41" s="54">
        <v>9</v>
      </c>
      <c r="L41" s="55" t="s">
        <v>209</v>
      </c>
      <c r="N41" s="32"/>
      <c r="O41" s="32" t="s">
        <v>43</v>
      </c>
    </row>
    <row r="42" spans="2:114" s="2" customFormat="1" ht="15.75" customHeight="1" x14ac:dyDescent="0.25">
      <c r="B42" s="19">
        <f t="shared" si="1"/>
        <v>2</v>
      </c>
      <c r="C42" s="2" t="s">
        <v>220</v>
      </c>
      <c r="D42" s="20" t="s">
        <v>15</v>
      </c>
      <c r="E42" s="2" t="s">
        <v>215</v>
      </c>
      <c r="F42" s="2" t="s">
        <v>216</v>
      </c>
      <c r="G42" s="31">
        <v>1322250</v>
      </c>
      <c r="H42" s="7" t="s">
        <v>58</v>
      </c>
      <c r="I42" t="s">
        <v>219</v>
      </c>
      <c r="J42" s="7" t="s">
        <v>222</v>
      </c>
      <c r="K42" s="7">
        <v>432</v>
      </c>
      <c r="L42" s="2" t="s">
        <v>42</v>
      </c>
      <c r="N42" s="3"/>
      <c r="O42" s="3" t="s">
        <v>43</v>
      </c>
    </row>
    <row r="43" spans="2:114" s="2" customFormat="1" ht="15.75" customHeight="1" x14ac:dyDescent="0.25">
      <c r="B43" s="19">
        <f t="shared" si="1"/>
        <v>2</v>
      </c>
      <c r="C43" s="7" t="s">
        <v>221</v>
      </c>
      <c r="D43" s="20" t="s">
        <v>15</v>
      </c>
      <c r="E43" s="7" t="s">
        <v>217</v>
      </c>
      <c r="F43" s="7" t="s">
        <v>218</v>
      </c>
      <c r="G43" s="31">
        <v>1322250</v>
      </c>
      <c r="H43" s="7" t="s">
        <v>58</v>
      </c>
      <c r="I43" t="s">
        <v>219</v>
      </c>
      <c r="J43" s="7" t="s">
        <v>222</v>
      </c>
      <c r="K43" s="7">
        <v>1632</v>
      </c>
      <c r="L43" s="7" t="s">
        <v>42</v>
      </c>
      <c r="M43" s="7"/>
      <c r="N43" s="33"/>
      <c r="O43" s="33" t="s">
        <v>43</v>
      </c>
    </row>
    <row r="44" spans="2:114" s="2" customFormat="1" ht="15.75" x14ac:dyDescent="0.25">
      <c r="B44" s="19">
        <f t="shared" si="1"/>
        <v>1.5</v>
      </c>
      <c r="C44" s="7" t="s">
        <v>223</v>
      </c>
      <c r="D44" s="20" t="s">
        <v>26</v>
      </c>
      <c r="E44" s="7">
        <v>53.000053000000001</v>
      </c>
      <c r="F44" s="7" t="s">
        <v>224</v>
      </c>
      <c r="G44" s="31">
        <v>1322250</v>
      </c>
      <c r="H44" s="7" t="s">
        <v>58</v>
      </c>
      <c r="I44" s="7" t="s">
        <v>225</v>
      </c>
      <c r="J44" s="7" t="s">
        <v>226</v>
      </c>
      <c r="K44" s="7" t="s">
        <v>227</v>
      </c>
      <c r="L44" s="7" t="s">
        <v>42</v>
      </c>
      <c r="M44" s="7"/>
      <c r="N44" s="33"/>
      <c r="O44" s="35" t="s">
        <v>34</v>
      </c>
    </row>
    <row r="45" spans="2:114" s="2" customFormat="1" ht="15.75" x14ac:dyDescent="0.25">
      <c r="B45" s="48">
        <f>IF(O45="","",IF(O45="offen",0,IF(O45="freigegeben",1.5,2)))</f>
        <v>1.5</v>
      </c>
      <c r="C45" s="55" t="s">
        <v>228</v>
      </c>
      <c r="D45" s="49" t="s">
        <v>26</v>
      </c>
      <c r="E45" s="54" t="s">
        <v>229</v>
      </c>
      <c r="F45" s="55" t="s">
        <v>207</v>
      </c>
      <c r="G45" s="56">
        <v>3121450</v>
      </c>
      <c r="H45" s="55" t="s">
        <v>208</v>
      </c>
      <c r="I45" s="55" t="s">
        <v>230</v>
      </c>
      <c r="J45" s="55"/>
      <c r="K45" s="54" t="s">
        <v>231</v>
      </c>
      <c r="L45" s="55" t="s">
        <v>128</v>
      </c>
      <c r="N45" s="3"/>
      <c r="O45" s="3" t="s">
        <v>34</v>
      </c>
    </row>
    <row r="46" spans="2:114" s="2" customFormat="1" ht="31.5" x14ac:dyDescent="0.25">
      <c r="B46" s="48">
        <f>IF(O46="","",IF(O46="offen",0,IF(O46="freigegeben",1.5,2)))</f>
        <v>2</v>
      </c>
      <c r="C46" s="49" t="s">
        <v>232</v>
      </c>
      <c r="D46" s="49" t="s">
        <v>15</v>
      </c>
      <c r="E46" s="50" t="s">
        <v>193</v>
      </c>
      <c r="F46" s="51" t="s">
        <v>105</v>
      </c>
      <c r="G46" s="51" t="s">
        <v>18</v>
      </c>
      <c r="H46" s="51" t="s">
        <v>19</v>
      </c>
      <c r="I46" s="51" t="s">
        <v>233</v>
      </c>
      <c r="J46" s="51" t="s">
        <v>236</v>
      </c>
      <c r="K46" s="50" t="s">
        <v>22</v>
      </c>
      <c r="L46" s="51" t="s">
        <v>23</v>
      </c>
      <c r="M46" s="51"/>
      <c r="N46" s="52"/>
      <c r="O46" s="53" t="s">
        <v>43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2:114" s="2" customFormat="1" ht="31.5" x14ac:dyDescent="0.25">
      <c r="B47" s="48">
        <f>IF(O47="","",IF(O47="offen",0,IF(O47="freigegeben",1.5,2)))</f>
        <v>2</v>
      </c>
      <c r="C47" s="49" t="s">
        <v>234</v>
      </c>
      <c r="D47" s="49" t="s">
        <v>15</v>
      </c>
      <c r="E47" s="50" t="s">
        <v>16</v>
      </c>
      <c r="F47" s="51" t="s">
        <v>17</v>
      </c>
      <c r="G47" s="51" t="s">
        <v>18</v>
      </c>
      <c r="H47" s="51" t="s">
        <v>19</v>
      </c>
      <c r="I47" s="51" t="s">
        <v>235</v>
      </c>
      <c r="J47" s="51" t="s">
        <v>236</v>
      </c>
      <c r="K47" s="50" t="s">
        <v>22</v>
      </c>
      <c r="L47" s="51" t="s">
        <v>23</v>
      </c>
      <c r="M47" s="51"/>
      <c r="N47" s="52"/>
      <c r="O47" s="53" t="s">
        <v>43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 spans="2:114" s="2" customFormat="1" ht="15.75" x14ac:dyDescent="0.25">
      <c r="B48" s="48">
        <f>IF(O48="","",IF(O48="offen",0,IF(O48="freigegeben",1.5,2)))</f>
        <v>1.5</v>
      </c>
      <c r="C48" s="20" t="s">
        <v>237</v>
      </c>
      <c r="D48" s="20" t="s">
        <v>26</v>
      </c>
      <c r="E48" s="24">
        <v>44.000011999999998</v>
      </c>
      <c r="F48" s="21" t="s">
        <v>238</v>
      </c>
      <c r="G48" s="21">
        <v>1322250</v>
      </c>
      <c r="H48" s="21" t="s">
        <v>58</v>
      </c>
      <c r="I48" s="21" t="s">
        <v>239</v>
      </c>
      <c r="J48" s="21" t="s">
        <v>240</v>
      </c>
      <c r="K48" s="57">
        <v>44890</v>
      </c>
      <c r="L48" s="21" t="s">
        <v>42</v>
      </c>
      <c r="M48" s="21"/>
      <c r="N48" s="23"/>
      <c r="O48" s="23" t="s">
        <v>34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 spans="2:114" s="2" customFormat="1" ht="31.5" x14ac:dyDescent="0.25">
      <c r="B49" s="48">
        <f>IF(O49="","",IF(O49="offen",0,IF(O49="freigegeben",1.5,2)))</f>
        <v>0</v>
      </c>
      <c r="C49" s="49" t="s">
        <v>242</v>
      </c>
      <c r="D49" s="49" t="s">
        <v>15</v>
      </c>
      <c r="E49" s="50" t="s">
        <v>243</v>
      </c>
      <c r="F49" s="51" t="s">
        <v>244</v>
      </c>
      <c r="G49" s="51">
        <v>9136546</v>
      </c>
      <c r="H49" s="51" t="s">
        <v>95</v>
      </c>
      <c r="I49" s="51" t="s">
        <v>246</v>
      </c>
      <c r="J49" s="51" t="s">
        <v>245</v>
      </c>
      <c r="K49" s="58" t="s">
        <v>241</v>
      </c>
      <c r="L49" s="51" t="s">
        <v>128</v>
      </c>
      <c r="M49" s="51"/>
      <c r="N49" s="52"/>
      <c r="O49" s="52" t="s">
        <v>24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 spans="2:114" s="2" customFormat="1" ht="15.75" x14ac:dyDescent="0.25">
      <c r="B50" s="48">
        <f t="shared" ref="B50:B56" si="2">IF(O50="","",IF(O50="offen",0,IF(O50="freigegeben",1.5,2)))</f>
        <v>1.5</v>
      </c>
      <c r="C50" s="7" t="s">
        <v>247</v>
      </c>
      <c r="D50" s="20" t="s">
        <v>26</v>
      </c>
      <c r="E50" s="7">
        <v>53.000053000000001</v>
      </c>
      <c r="F50" s="7" t="s">
        <v>248</v>
      </c>
      <c r="G50" s="31">
        <v>1322250</v>
      </c>
      <c r="H50" s="7" t="s">
        <v>58</v>
      </c>
      <c r="I50" s="7" t="s">
        <v>249</v>
      </c>
      <c r="J50" s="31" t="s">
        <v>250</v>
      </c>
      <c r="K50" s="7"/>
      <c r="L50" s="7" t="s">
        <v>42</v>
      </c>
      <c r="M50" s="7"/>
      <c r="N50" s="33"/>
      <c r="O50" s="35" t="s">
        <v>34</v>
      </c>
    </row>
    <row r="51" spans="2:114" s="2" customFormat="1" ht="15.75" x14ac:dyDescent="0.25">
      <c r="B51" s="48" t="str">
        <f t="shared" si="2"/>
        <v/>
      </c>
      <c r="C51" s="7"/>
      <c r="D51" s="7"/>
      <c r="E51" s="7"/>
      <c r="F51" s="7"/>
      <c r="G51" s="31"/>
      <c r="H51" s="7"/>
      <c r="I51" s="7"/>
      <c r="J51" s="31"/>
      <c r="K51" s="7"/>
      <c r="L51" s="7"/>
      <c r="M51" s="7"/>
      <c r="N51" s="33"/>
      <c r="O51" s="35"/>
    </row>
    <row r="52" spans="2:114" ht="15.75" x14ac:dyDescent="0.25">
      <c r="B52" s="48">
        <f t="shared" si="2"/>
        <v>1.5</v>
      </c>
      <c r="C52" s="7" t="s">
        <v>251</v>
      </c>
      <c r="D52" s="7" t="s">
        <v>26</v>
      </c>
      <c r="E52" s="34" t="s">
        <v>252</v>
      </c>
      <c r="F52" s="7" t="s">
        <v>253</v>
      </c>
      <c r="G52" s="31">
        <v>1322250</v>
      </c>
      <c r="H52" s="7" t="s">
        <v>58</v>
      </c>
      <c r="I52" s="7" t="s">
        <v>254</v>
      </c>
      <c r="J52" s="31" t="s">
        <v>72</v>
      </c>
      <c r="K52" s="7" t="s">
        <v>73</v>
      </c>
      <c r="L52" s="7" t="s">
        <v>42</v>
      </c>
      <c r="M52" s="7"/>
      <c r="N52" s="33"/>
      <c r="O52" s="35" t="s">
        <v>34</v>
      </c>
    </row>
    <row r="53" spans="2:114" ht="15.75" x14ac:dyDescent="0.25">
      <c r="B53" s="59">
        <f>IF(O53="","",IF(O53="offen",0,IF(O53="freigegeben",1.5,2)))</f>
        <v>2</v>
      </c>
      <c r="C53" s="7" t="s">
        <v>255</v>
      </c>
      <c r="D53" s="7" t="s">
        <v>26</v>
      </c>
      <c r="E53" s="34" t="s">
        <v>256</v>
      </c>
      <c r="F53" s="7" t="s">
        <v>105</v>
      </c>
      <c r="G53" s="31" t="s">
        <v>18</v>
      </c>
      <c r="H53" s="7" t="s">
        <v>19</v>
      </c>
      <c r="I53" s="7" t="s">
        <v>257</v>
      </c>
      <c r="J53" s="60" t="s">
        <v>258</v>
      </c>
      <c r="K53" s="7">
        <v>1</v>
      </c>
      <c r="L53" s="7" t="s">
        <v>23</v>
      </c>
      <c r="M53" s="7"/>
      <c r="N53" s="35"/>
      <c r="O53" s="53" t="s">
        <v>43</v>
      </c>
    </row>
    <row r="54" spans="2:114" ht="15.75" x14ac:dyDescent="0.25">
      <c r="B54" s="19">
        <f t="shared" si="2"/>
        <v>0</v>
      </c>
      <c r="C54" t="s">
        <v>259</v>
      </c>
      <c r="D54" t="s">
        <v>26</v>
      </c>
      <c r="E54" s="9">
        <v>53.000000999999997</v>
      </c>
      <c r="F54" s="7" t="s">
        <v>171</v>
      </c>
      <c r="G54" s="62">
        <v>1322250</v>
      </c>
      <c r="H54" s="9" t="s">
        <v>58</v>
      </c>
      <c r="I54" s="9" t="s">
        <v>260</v>
      </c>
      <c r="J54" s="9" t="s">
        <v>72</v>
      </c>
      <c r="K54" s="9" t="s">
        <v>261</v>
      </c>
      <c r="L54" s="7" t="s">
        <v>42</v>
      </c>
      <c r="N54" s="61"/>
      <c r="O54" s="61" t="s">
        <v>24</v>
      </c>
    </row>
    <row r="55" spans="2:114" ht="15.75" x14ac:dyDescent="0.25">
      <c r="B55" s="19">
        <f t="shared" ref="B55" si="3">IF(O55="","",IF(O55="offen",0,IF(O55="freigegeben",1.5,2)))</f>
        <v>0</v>
      </c>
      <c r="C55" t="s">
        <v>262</v>
      </c>
      <c r="D55" t="s">
        <v>26</v>
      </c>
      <c r="E55" s="9" t="s">
        <v>265</v>
      </c>
      <c r="F55" s="7" t="s">
        <v>263</v>
      </c>
      <c r="G55" s="62" t="s">
        <v>264</v>
      </c>
      <c r="H55" s="9" t="s">
        <v>19</v>
      </c>
      <c r="I55" s="9" t="s">
        <v>266</v>
      </c>
      <c r="J55" s="9" t="s">
        <v>267</v>
      </c>
      <c r="L55" s="7" t="s">
        <v>23</v>
      </c>
      <c r="N55" s="61"/>
      <c r="O55" s="61" t="s">
        <v>24</v>
      </c>
    </row>
    <row r="56" spans="2:114" ht="15.75" x14ac:dyDescent="0.25">
      <c r="B56" s="48">
        <f t="shared" si="2"/>
        <v>0</v>
      </c>
      <c r="C56" t="s">
        <v>268</v>
      </c>
      <c r="D56" t="s">
        <v>26</v>
      </c>
      <c r="E56" s="9">
        <v>53.000000999999997</v>
      </c>
      <c r="F56" t="s">
        <v>171</v>
      </c>
      <c r="G56" s="62">
        <v>1322250</v>
      </c>
      <c r="H56" s="9" t="s">
        <v>58</v>
      </c>
      <c r="I56" s="9" t="s">
        <v>269</v>
      </c>
      <c r="J56" s="9" t="s">
        <v>270</v>
      </c>
      <c r="K56" s="9" t="s">
        <v>271</v>
      </c>
      <c r="L56" s="7" t="s">
        <v>42</v>
      </c>
      <c r="O56" s="5" t="s">
        <v>24</v>
      </c>
    </row>
    <row r="57" spans="2:114" ht="18.75" customHeight="1" x14ac:dyDescent="0.25">
      <c r="B57" s="48">
        <f t="shared" ref="B57" si="4">IF(O57="","",IF(O57="offen",0,IF(O57="freigegeben",1.5,2)))</f>
        <v>2</v>
      </c>
      <c r="C57" t="s">
        <v>272</v>
      </c>
      <c r="D57" t="s">
        <v>26</v>
      </c>
      <c r="E57" s="9" t="s">
        <v>273</v>
      </c>
      <c r="F57" t="s">
        <v>52</v>
      </c>
      <c r="G57" s="62" t="s">
        <v>18</v>
      </c>
      <c r="H57" s="9" t="s">
        <v>19</v>
      </c>
      <c r="I57" s="9" t="s">
        <v>274</v>
      </c>
      <c r="J57" s="21" t="s">
        <v>236</v>
      </c>
      <c r="K57" s="9">
        <v>1</v>
      </c>
      <c r="L57" s="7" t="s">
        <v>23</v>
      </c>
      <c r="O57" s="53" t="s">
        <v>43</v>
      </c>
    </row>
    <row r="58" spans="2:114" ht="30" x14ac:dyDescent="0.25">
      <c r="B58" s="59">
        <f>IF(O58="","",IF(O58="offen",0,IF(O58="freigegeben",1.5,2)))</f>
        <v>0</v>
      </c>
      <c r="C58" t="s">
        <v>275</v>
      </c>
      <c r="D58" t="s">
        <v>26</v>
      </c>
      <c r="E58" s="64" t="s">
        <v>156</v>
      </c>
      <c r="F58" t="s">
        <v>151</v>
      </c>
      <c r="G58" s="62" t="s">
        <v>18</v>
      </c>
      <c r="H58" s="9" t="s">
        <v>19</v>
      </c>
      <c r="I58" s="62" t="s">
        <v>276</v>
      </c>
      <c r="J58" s="60" t="s">
        <v>277</v>
      </c>
      <c r="K58" s="9" t="s">
        <v>73</v>
      </c>
      <c r="L58" s="7" t="s">
        <v>209</v>
      </c>
      <c r="O58" s="63" t="s">
        <v>24</v>
      </c>
    </row>
  </sheetData>
  <autoFilter ref="A3:DJ50" xr:uid="{00000000-0009-0000-0000-000000000000}"/>
  <dataConsolidate/>
  <mergeCells count="1">
    <mergeCell ref="B2:L2"/>
  </mergeCells>
  <phoneticPr fontId="9" type="noConversion"/>
  <conditionalFormatting sqref="B4:B17">
    <cfRule type="iconSet" priority="147">
      <iconSet iconSet="3TrafficLights2" showValue="0">
        <cfvo type="percent" val="0"/>
        <cfvo type="num" val="1"/>
        <cfvo type="num" val="2"/>
      </iconSet>
    </cfRule>
  </conditionalFormatting>
  <conditionalFormatting sqref="B18">
    <cfRule type="iconSet" priority="19">
      <iconSet iconSet="3TrafficLights2" showValue="0">
        <cfvo type="percent" val="0"/>
        <cfvo type="num" val="1"/>
        <cfvo type="num" val="2"/>
      </iconSet>
    </cfRule>
  </conditionalFormatting>
  <conditionalFormatting sqref="B19">
    <cfRule type="iconSet" priority="18">
      <iconSet iconSet="3TrafficLights2" showValue="0">
        <cfvo type="percent" val="0"/>
        <cfvo type="num" val="1"/>
        <cfvo type="num" val="2"/>
      </iconSet>
    </cfRule>
  </conditionalFormatting>
  <conditionalFormatting sqref="B20:B34 B38:B45">
    <cfRule type="iconSet" priority="16">
      <iconSet iconSet="3TrafficLights2" showValue="0">
        <cfvo type="percent" val="0"/>
        <cfvo type="num" val="1"/>
        <cfvo type="num" val="2"/>
      </iconSet>
    </cfRule>
  </conditionalFormatting>
  <conditionalFormatting sqref="B35">
    <cfRule type="iconSet" priority="14">
      <iconSet iconSet="3TrafficLights2" showValue="0">
        <cfvo type="percent" val="0"/>
        <cfvo type="num" val="1"/>
        <cfvo type="num" val="2"/>
      </iconSet>
    </cfRule>
  </conditionalFormatting>
  <conditionalFormatting sqref="B36">
    <cfRule type="iconSet" priority="11">
      <iconSet iconSet="3TrafficLights2" showValue="0">
        <cfvo type="percent" val="0"/>
        <cfvo type="num" val="1"/>
        <cfvo type="num" val="2"/>
      </iconSet>
    </cfRule>
  </conditionalFormatting>
  <conditionalFormatting sqref="B37">
    <cfRule type="iconSet" priority="9">
      <iconSet iconSet="3TrafficLights2" showValue="0">
        <cfvo type="percent" val="0"/>
        <cfvo type="num" val="1"/>
        <cfvo type="num" val="2"/>
      </iconSet>
    </cfRule>
  </conditionalFormatting>
  <conditionalFormatting sqref="B46">
    <cfRule type="iconSet" priority="7">
      <iconSet iconSet="3TrafficLights2" showValue="0">
        <cfvo type="percent" val="0"/>
        <cfvo type="num" val="1"/>
        <cfvo type="num" val="2"/>
      </iconSet>
    </cfRule>
  </conditionalFormatting>
  <conditionalFormatting sqref="B47:B52 B54 B56">
    <cfRule type="iconSet" priority="5">
      <iconSet iconSet="3TrafficLights2" showValue="0">
        <cfvo type="percent" val="0"/>
        <cfvo type="num" val="1"/>
        <cfvo type="num" val="2"/>
      </iconSet>
    </cfRule>
  </conditionalFormatting>
  <conditionalFormatting sqref="B53">
    <cfRule type="iconSet" priority="3">
      <iconSet iconSet="3TrafficLights2" showValue="0">
        <cfvo type="percent" val="0"/>
        <cfvo type="num" val="1"/>
        <cfvo type="num" val="2"/>
      </iconSet>
    </cfRule>
  </conditionalFormatting>
  <conditionalFormatting sqref="B55">
    <cfRule type="iconSet" priority="2">
      <iconSet iconSet="3TrafficLights2" showValue="0">
        <cfvo type="percent" val="0"/>
        <cfvo type="num" val="1"/>
        <cfvo type="num" val="2"/>
      </iconSet>
    </cfRule>
  </conditionalFormatting>
  <conditionalFormatting sqref="B57:B58">
    <cfRule type="iconSet" priority="1">
      <iconSet iconSet="3TrafficLights2" showValue="0">
        <cfvo type="percent" val="0"/>
        <cfvo type="num" val="1"/>
        <cfvo type="num" val="2"/>
      </iconSet>
    </cfRule>
  </conditionalFormatting>
  <conditionalFormatting sqref="N4:N5 O4:O8">
    <cfRule type="dataBar" priority="14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{80D9193B-3090-4565-8AF4-E6BB79305D9A}</x14:id>
        </ext>
      </extLst>
    </cfRule>
  </conditionalFormatting>
  <conditionalFormatting sqref="N6">
    <cfRule type="dataBar" priority="7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{255CFADE-21FE-4BFC-B331-76A33F719D9A}</x14:id>
        </ext>
      </extLst>
    </cfRule>
  </conditionalFormatting>
  <conditionalFormatting sqref="N7:N12 N16:N17 N20:N23">
    <cfRule type="dataBar" priority="10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{69E1759C-D0E1-48BD-8497-6CEF9B3CF4AC}</x14:id>
        </ext>
      </extLst>
    </cfRule>
  </conditionalFormatting>
  <conditionalFormatting sqref="N13">
    <cfRule type="dataBar" priority="2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{F0F8CF9D-70EE-4E2B-A745-C52872F1F7C2}</x14:id>
        </ext>
      </extLst>
    </cfRule>
  </conditionalFormatting>
  <conditionalFormatting sqref="N18">
    <cfRule type="dataBar" priority="6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{EC306A6E-A539-4D43-B63E-A8A56E37C62C}</x14:id>
        </ext>
      </extLst>
    </cfRule>
  </conditionalFormatting>
  <conditionalFormatting sqref="N19">
    <cfRule type="dataBar" priority="6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{D7624242-10FC-4133-8306-454FD87FE5E9}</x14:id>
        </ext>
      </extLst>
    </cfRule>
  </conditionalFormatting>
  <conditionalFormatting sqref="N24">
    <cfRule type="dataBar" priority="5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{94B93FBD-84F7-4EDE-BC0C-00679E2BD774}</x14:id>
        </ext>
      </extLst>
    </cfRule>
  </conditionalFormatting>
  <conditionalFormatting sqref="N25">
    <cfRule type="dataBar" priority="5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{EF761561-9521-4E8C-9E7A-827C0302933F}</x14:id>
        </ext>
      </extLst>
    </cfRule>
  </conditionalFormatting>
  <conditionalFormatting sqref="N26">
    <cfRule type="dataBar" priority="5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{35D75581-D8C3-4539-BC50-8A774BA191D4}</x14:id>
        </ext>
      </extLst>
    </cfRule>
  </conditionalFormatting>
  <conditionalFormatting sqref="N27">
    <cfRule type="dataBar" priority="4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{447C6DB7-CEA1-4C38-82BF-3244E592CCED}</x14:id>
        </ext>
      </extLst>
    </cfRule>
  </conditionalFormatting>
  <conditionalFormatting sqref="N28">
    <cfRule type="dataBar" priority="4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{700AC4E2-1E97-48CA-B7FB-843D5F785CA3}</x14:id>
        </ext>
      </extLst>
    </cfRule>
  </conditionalFormatting>
  <conditionalFormatting sqref="N30">
    <cfRule type="dataBar" priority="4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{D6EA8DB8-A13E-4BB0-BA6B-DAEA21120D90}</x14:id>
        </ext>
      </extLst>
    </cfRule>
  </conditionalFormatting>
  <conditionalFormatting sqref="N31">
    <cfRule type="dataBar" priority="3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{778C8001-710E-46C2-88E7-B311078C9296}</x14:id>
        </ext>
      </extLst>
    </cfRule>
  </conditionalFormatting>
  <conditionalFormatting sqref="N32">
    <cfRule type="dataBar" priority="3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{5717EF4E-361D-4401-A80B-A0A06950F2F4}</x14:id>
        </ext>
      </extLst>
    </cfRule>
  </conditionalFormatting>
  <conditionalFormatting sqref="N35">
    <cfRule type="dataBar" priority="1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{07BD41A2-9096-4FCF-AD05-08D5CF524DD3}</x14:id>
        </ext>
      </extLst>
    </cfRule>
  </conditionalFormatting>
  <conditionalFormatting sqref="N36">
    <cfRule type="dataBar" priority="1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{043CA0D7-8764-4B93-9DED-C2B3D642D10B}</x14:id>
        </ext>
      </extLst>
    </cfRule>
  </conditionalFormatting>
  <conditionalFormatting sqref="N37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{C7778DF8-6679-4C8A-A949-A465B47FA311}</x14:id>
        </ext>
      </extLst>
    </cfRule>
  </conditionalFormatting>
  <conditionalFormatting sqref="N46">
    <cfRule type="dataBar" priority="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{C7531699-1052-44D3-9292-9A8FA86456AC}</x14:id>
        </ext>
      </extLst>
    </cfRule>
  </conditionalFormatting>
  <conditionalFormatting sqref="N47">
    <cfRule type="dataBar" priority="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{62541FBC-4B51-4867-BCCF-D59287F92DE8}</x14:id>
        </ext>
      </extLst>
    </cfRule>
  </conditionalFormatting>
  <conditionalFormatting sqref="N48:N49">
    <cfRule type="dataBar" priority="3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{56956E66-C939-4D3F-9810-8F6E225E05FA}</x14:id>
        </ext>
      </extLst>
    </cfRule>
  </conditionalFormatting>
  <conditionalFormatting sqref="O9:O12 O20 O22:O23 O16:O17">
    <cfRule type="dataBar" priority="10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{57A878E4-2635-40E3-BDE5-99510F949975}</x14:id>
        </ext>
      </extLst>
    </cfRule>
  </conditionalFormatting>
  <conditionalFormatting sqref="O13">
    <cfRule type="dataBar" priority="2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{8CC9BE3C-D442-4F38-B934-B9EDF7233B2F}</x14:id>
        </ext>
      </extLst>
    </cfRule>
  </conditionalFormatting>
  <conditionalFormatting sqref="O14">
    <cfRule type="dataBar" priority="6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{A31A1CF4-6CD1-42F7-984C-6D5340825814}</x14:id>
        </ext>
      </extLst>
    </cfRule>
  </conditionalFormatting>
  <conditionalFormatting sqref="O15">
    <cfRule type="dataBar" priority="22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{54750EB0-6D97-43AA-96F4-894342D2B77C}</x14:id>
        </ext>
      </extLst>
    </cfRule>
  </conditionalFormatting>
  <conditionalFormatting sqref="O18">
    <cfRule type="dataBar" priority="1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{CDD9B5B0-4DE3-4FF4-912A-2F737DC44ED6}</x14:id>
        </ext>
      </extLst>
    </cfRule>
  </conditionalFormatting>
  <conditionalFormatting sqref="O19">
    <cfRule type="dataBar" priority="6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{AC1A7927-4A53-4EE2-8BB6-C718A8B40653}</x14:id>
        </ext>
      </extLst>
    </cfRule>
  </conditionalFormatting>
  <conditionalFormatting sqref="O21">
    <cfRule type="dataBar" priority="6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{D7F380A7-7A12-413E-92BB-DCE94A19A3BB}</x14:id>
        </ext>
      </extLst>
    </cfRule>
  </conditionalFormatting>
  <conditionalFormatting sqref="O24">
    <cfRule type="dataBar" priority="55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{BF460D56-0E29-42A3-9553-BAFC25C1E7C2}</x14:id>
        </ext>
      </extLst>
    </cfRule>
  </conditionalFormatting>
  <conditionalFormatting sqref="O25">
    <cfRule type="dataBar" priority="5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{7A7CF11C-41BA-4C5F-93CA-263F02D03735}</x14:id>
        </ext>
      </extLst>
    </cfRule>
  </conditionalFormatting>
  <conditionalFormatting sqref="O26">
    <cfRule type="dataBar" priority="5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{A61E2FD0-DDEB-451D-A8F6-413C500E7394}</x14:id>
        </ext>
      </extLst>
    </cfRule>
  </conditionalFormatting>
  <conditionalFormatting sqref="O27">
    <cfRule type="dataBar" priority="46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{7D6CA264-A521-4419-9399-144546E3C17A}</x14:id>
        </ext>
      </extLst>
    </cfRule>
  </conditionalFormatting>
  <conditionalFormatting sqref="O28">
    <cfRule type="dataBar" priority="43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{97DF5A9C-8A3B-4504-847F-4BEC70D50C1A}</x14:id>
        </ext>
      </extLst>
    </cfRule>
  </conditionalFormatting>
  <conditionalFormatting sqref="O30">
    <cfRule type="dataBar" priority="40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{464ADB15-6B2E-4A7F-BA2A-B94352A4969D}</x14:id>
        </ext>
      </extLst>
    </cfRule>
  </conditionalFormatting>
  <conditionalFormatting sqref="O31">
    <cfRule type="dataBar" priority="37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{503D8964-AEA0-4B34-BC5D-EFA5E5D7D548}</x14:id>
        </ext>
      </extLst>
    </cfRule>
  </conditionalFormatting>
  <conditionalFormatting sqref="O32">
    <cfRule type="dataBar" priority="34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{51058F7D-A2DF-468E-9A93-87E0AB029CE1}</x14:id>
        </ext>
      </extLst>
    </cfRule>
  </conditionalFormatting>
  <conditionalFormatting sqref="O48:O49">
    <cfRule type="dataBar" priority="3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{F98F0DEE-5898-4158-8007-F5B5C3842B2D}</x14:id>
        </ext>
      </extLst>
    </cfRule>
  </conditionalFormatting>
  <pageMargins left="0.7" right="0.7" top="0.78740157499999996" bottom="0.78740157499999996" header="0.3" footer="0.3"/>
  <pageSetup paperSize="8" scale="1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D9193B-3090-4565-8AF4-E6BB79305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N4:N5 O4:O8</xm:sqref>
        </x14:conditionalFormatting>
        <x14:conditionalFormatting xmlns:xm="http://schemas.microsoft.com/office/excel/2006/main">
          <x14:cfRule type="dataBar" id="{255CFADE-21FE-4BFC-B331-76A33F719D9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9E1759C-D0E1-48BD-8497-6CEF9B3CF4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N7:N12 N16:N17 N20:N23</xm:sqref>
        </x14:conditionalFormatting>
        <x14:conditionalFormatting xmlns:xm="http://schemas.microsoft.com/office/excel/2006/main">
          <x14:cfRule type="dataBar" id="{F0F8CF9D-70EE-4E2B-A745-C52872F1F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EC306A6E-A539-4D43-B63E-A8A56E37C62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D7624242-10FC-4133-8306-454FD87FE5E9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94B93FBD-84F7-4EDE-BC0C-00679E2BD77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EF761561-9521-4E8C-9E7A-827C0302933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35D75581-D8C3-4539-BC50-8A774BA191D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447C6DB7-CEA1-4C38-82BF-3244E592CCE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700AC4E2-1E97-48CA-B7FB-843D5F785CA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D6EA8DB8-A13E-4BB0-BA6B-DAEA21120D90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778C8001-710E-46C2-88E7-B311078C929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5717EF4E-361D-4401-A80B-A0A06950F2F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07BD41A2-9096-4FCF-AD05-08D5CF524DD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N35</xm:sqref>
        </x14:conditionalFormatting>
        <x14:conditionalFormatting xmlns:xm="http://schemas.microsoft.com/office/excel/2006/main">
          <x14:cfRule type="dataBar" id="{043CA0D7-8764-4B93-9DED-C2B3D642D10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C7778DF8-6679-4C8A-A949-A465B47FA31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C7531699-1052-44D3-9292-9A8FA86456A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N46</xm:sqref>
        </x14:conditionalFormatting>
        <x14:conditionalFormatting xmlns:xm="http://schemas.microsoft.com/office/excel/2006/main">
          <x14:cfRule type="dataBar" id="{62541FBC-4B51-4867-BCCF-D59287F92DE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N47</xm:sqref>
        </x14:conditionalFormatting>
        <x14:conditionalFormatting xmlns:xm="http://schemas.microsoft.com/office/excel/2006/main">
          <x14:cfRule type="dataBar" id="{56956E66-C939-4D3F-9810-8F6E225E05F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N48:N49</xm:sqref>
        </x14:conditionalFormatting>
        <x14:conditionalFormatting xmlns:xm="http://schemas.microsoft.com/office/excel/2006/main">
          <x14:cfRule type="dataBar" id="{57A878E4-2635-40E3-BDE5-99510F94997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O9:O12 O20 O22:O23 O16:O17</xm:sqref>
        </x14:conditionalFormatting>
        <x14:conditionalFormatting xmlns:xm="http://schemas.microsoft.com/office/excel/2006/main">
          <x14:cfRule type="dataBar" id="{8CC9BE3C-D442-4F38-B934-B9EDF7233B2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31A1CF4-6CD1-42F7-984C-6D534082581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4750EB0-6D97-43AA-96F4-894342D2B77C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DD9B5B0-4DE3-4FF4-912A-2F737DC44ED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C1A7927-4A53-4EE2-8BB6-C718A8B406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F380A7-7A12-413E-92BB-DCE94A19A3BB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460D56-0E29-42A3-9553-BAFC25C1E7C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A7CF11C-41BA-4C5F-93CA-263F02D03735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61E2FD0-DDEB-451D-A8F6-413C500E7394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7D6CA264-A521-4419-9399-144546E3C17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97DF5A9C-8A3B-4504-847F-4BEC70D50C1A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64ADB15-6B2E-4A7F-BA2A-B94352A4969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503D8964-AEA0-4B34-BC5D-EFA5E5D7D548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51058F7D-A2DF-468E-9A93-87E0AB029CE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F98F0DEE-5898-4158-8007-F5B5C3842B2D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O48:O49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O4:O8 O13:O49 O57:O58 O53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ColWidth="11.42578125" defaultRowHeight="15" x14ac:dyDescent="0.25"/>
  <cols>
    <col min="1" max="1" width="12.5703125" customWidth="1"/>
  </cols>
  <sheetData>
    <row r="1" spans="1:1" x14ac:dyDescent="0.25">
      <c r="A1" t="s">
        <v>12</v>
      </c>
    </row>
    <row r="2" spans="1:1" x14ac:dyDescent="0.25">
      <c r="A2" t="s">
        <v>24</v>
      </c>
    </row>
    <row r="3" spans="1:1" x14ac:dyDescent="0.25">
      <c r="A3" t="s">
        <v>34</v>
      </c>
    </row>
    <row r="4" spans="1:1" x14ac:dyDescent="0.25">
      <c r="A4" t="s">
        <v>43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ip_UnifiedCompliancePolicyUIAction xmlns="http://schemas.microsoft.com/sharepoint/v3" xsi:nil="true"/>
    <_Flow_SignoffStatus xmlns="fbf11286-88bd-49f6-9e65-04081c2d26f1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Props1.xml><?xml version="1.0" encoding="utf-8"?>
<ds:datastoreItem xmlns:ds="http://schemas.openxmlformats.org/officeDocument/2006/customXml" ds:itemID="{4A04A06B-3C45-41F8-AA98-4F3C7E2843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02AF8-CD7A-48D0-B358-9813E1ED4241}"/>
</file>

<file path=customXml/itemProps3.xml><?xml version="1.0" encoding="utf-8"?>
<ds:datastoreItem xmlns:ds="http://schemas.openxmlformats.org/officeDocument/2006/customXml" ds:itemID="{9255A0F8-0595-48F3-B925-31307EDFC05B}">
  <ds:schemaRefs>
    <ds:schemaRef ds:uri="http://purl.org/dc/terms/"/>
    <ds:schemaRef ds:uri="http://purl.org/dc/elements/1.1/"/>
    <ds:schemaRef ds:uri="http://schemas.openxmlformats.org/package/2006/metadata/core-properties"/>
    <ds:schemaRef ds:uri="fbf11286-88bd-49f6-9e65-04081c2d26f1"/>
    <ds:schemaRef ds:uri="http://schemas.microsoft.com/office/2006/metadata/properties"/>
    <ds:schemaRef ds:uri="199c62a4-0f37-4b66-b4f0-d96c1b5a08a3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2022_Übersicht QN</vt:lpstr>
      <vt:lpstr>Status Liste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keywords/>
  <dc:description/>
  <cp:lastModifiedBy>Sergio Thaddey</cp:lastModifiedBy>
  <cp:revision/>
  <dcterms:created xsi:type="dcterms:W3CDTF">2016-09-13T13:09:18Z</dcterms:created>
  <dcterms:modified xsi:type="dcterms:W3CDTF">2024-03-15T12:21:49Z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